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filterPrivacy="1" codeName="ЭтаКнига"/>
  <xr:revisionPtr revIDLastSave="0" documentId="13_ncr:1_{D5C27240-7383-45D7-B25E-60E7D3AFBA9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Инженерия" sheetId="2" r:id="rId1"/>
    <sheet name="Настройки" sheetId="3" state="hidden" r:id="rId2"/>
  </sheets>
  <functionGroups builtInGroupCount="19"/>
  <definedNames>
    <definedName name="РГ">Настройки!$B$2</definedName>
    <definedName name="РС">Настройки!$B$1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9" i="2" l="1"/>
  <c r="V18" i="2"/>
  <c r="V55" i="2"/>
  <c r="V64" i="2"/>
  <c r="V51" i="2"/>
  <c r="V57" i="2"/>
  <c r="V79" i="2"/>
  <c r="V22" i="2"/>
  <c r="V62" i="2"/>
  <c r="V34" i="2"/>
  <c r="V58" i="2"/>
  <c r="V25" i="2"/>
  <c r="V48" i="2"/>
  <c r="V49" i="2"/>
  <c r="V19" i="2"/>
  <c r="V21" i="2"/>
  <c r="V5" i="2"/>
  <c r="V44" i="2"/>
  <c r="V73" i="2"/>
  <c r="V70" i="2"/>
  <c r="V54" i="2"/>
  <c r="V68" i="2"/>
  <c r="V67" i="2"/>
  <c r="V9" i="2"/>
  <c r="V23" i="2"/>
  <c r="V52" i="2"/>
  <c r="V30" i="2"/>
  <c r="V56" i="2"/>
  <c r="V50" i="2"/>
  <c r="V13" i="2"/>
  <c r="V17" i="2"/>
  <c r="V12" i="2"/>
  <c r="V43" i="2"/>
  <c r="V84" i="2"/>
  <c r="V20" i="2"/>
  <c r="V40" i="2"/>
  <c r="V59" i="2"/>
  <c r="V46" i="2"/>
  <c r="V6" i="2"/>
  <c r="V32" i="2"/>
  <c r="V8" i="2"/>
  <c r="V53" i="2"/>
  <c r="V16" i="2"/>
  <c r="V42" i="2"/>
  <c r="V10" i="2"/>
  <c r="V81" i="2"/>
  <c r="V11" i="2"/>
  <c r="V4" i="2"/>
  <c r="V33" i="2"/>
  <c r="V61" i="2"/>
  <c r="V29" i="2"/>
  <c r="V45" i="2"/>
  <c r="V77" i="2"/>
  <c r="V66" i="2"/>
  <c r="V80" i="2"/>
  <c r="V78" i="2"/>
  <c r="V14" i="2"/>
  <c r="V75" i="2"/>
  <c r="V41" i="2"/>
  <c r="V31" i="2"/>
  <c r="V47" i="2"/>
  <c r="R24" i="2" l="1"/>
  <c r="Q24" i="2"/>
  <c r="V39" i="2"/>
  <c r="V15" i="2"/>
  <c r="Q37" i="2" l="1"/>
  <c r="V72" i="2"/>
  <c r="V69" i="2"/>
  <c r="V63" i="2"/>
  <c r="V38" i="2"/>
  <c r="V65" i="2"/>
  <c r="V24" i="2"/>
  <c r="V74" i="2"/>
  <c r="V76" i="2"/>
  <c r="V83" i="2"/>
  <c r="V36" i="2"/>
  <c r="V82" i="2"/>
  <c r="V27" i="2"/>
  <c r="V35" i="2"/>
  <c r="V60" i="2"/>
  <c r="V7" i="2"/>
  <c r="V3" i="2"/>
  <c r="V37" i="2"/>
  <c r="V28" i="2"/>
  <c r="V26" i="2"/>
  <c r="V71" i="2"/>
</calcChain>
</file>

<file path=xl/sharedStrings.xml><?xml version="1.0" encoding="utf-8"?>
<sst xmlns="http://schemas.openxmlformats.org/spreadsheetml/2006/main" count="301" uniqueCount="192">
  <si>
    <t>Функциональный подтип</t>
  </si>
  <si>
    <t>Функциональный тип</t>
  </si>
  <si>
    <t>Наименование загружаемого семейства</t>
  </si>
  <si>
    <t>Котел</t>
  </si>
  <si>
    <t>стальной водогрейный</t>
  </si>
  <si>
    <t>Мощность, кВт</t>
  </si>
  <si>
    <t>Номинальное давление, бар</t>
  </si>
  <si>
    <t>Условный проход, мм</t>
  </si>
  <si>
    <t>КПД, %</t>
  </si>
  <si>
    <t>Минимальный расход, м³/ч</t>
  </si>
  <si>
    <t>Максимальный расход, м³/ч</t>
  </si>
  <si>
    <t>Минимальная температура, °C</t>
  </si>
  <si>
    <t>Максимальная температура, °C</t>
  </si>
  <si>
    <t>Электрическая мощность, кВт</t>
  </si>
  <si>
    <t>Номинальный ток, А</t>
  </si>
  <si>
    <t>Фазы, шт</t>
  </si>
  <si>
    <t>Напряжение, В</t>
  </si>
  <si>
    <t>Частота сети, Hz</t>
  </si>
  <si>
    <t>KVS, м³/ч</t>
  </si>
  <si>
    <t>Напор, м</t>
  </si>
  <si>
    <t>Комплектация</t>
  </si>
  <si>
    <t>Основные данные</t>
  </si>
  <si>
    <t>Механические показатели</t>
  </si>
  <si>
    <t>Термические показатели</t>
  </si>
  <si>
    <t>Электрические показатели</t>
  </si>
  <si>
    <t>Гидравлические показатели</t>
  </si>
  <si>
    <t>Класс герметичности</t>
  </si>
  <si>
    <t>А</t>
  </si>
  <si>
    <t>Разделитель строк</t>
  </si>
  <si>
    <t xml:space="preserve">, </t>
  </si>
  <si>
    <t>Разделитель групп</t>
  </si>
  <si>
    <t xml:space="preserve">. </t>
  </si>
  <si>
    <t>Размерность расхода</t>
  </si>
  <si>
    <t xml:space="preserve"> м³/ч</t>
  </si>
  <si>
    <t>программное обеспечение, прямые участки, монтажная катушка по запросу</t>
  </si>
  <si>
    <t>направление потока газа: справа налево</t>
  </si>
  <si>
    <t>Описание</t>
  </si>
  <si>
    <t>Физические параметры</t>
  </si>
  <si>
    <t>Материал изделия</t>
  </si>
  <si>
    <t>сталь</t>
  </si>
  <si>
    <t>Насос</t>
  </si>
  <si>
    <t>циркуляционный с мокрым ротором</t>
  </si>
  <si>
    <t>водогрейный</t>
  </si>
  <si>
    <t>Счетчик холодной воды</t>
  </si>
  <si>
    <t>крыльчатый одноструйный</t>
  </si>
  <si>
    <t xml:space="preserve">Блок автоматической заправки </t>
  </si>
  <si>
    <t>предварительно регулируемый</t>
  </si>
  <si>
    <t>манометр</t>
  </si>
  <si>
    <t>Фланец</t>
  </si>
  <si>
    <t>плоский приварной</t>
  </si>
  <si>
    <t>сталь 25</t>
  </si>
  <si>
    <t>с соединительным выступом</t>
  </si>
  <si>
    <t>Прокладка</t>
  </si>
  <si>
    <t>плоская эластичная</t>
  </si>
  <si>
    <t>паронит маслобензостойкий</t>
  </si>
  <si>
    <t>Хомут</t>
  </si>
  <si>
    <t>для крепления труб</t>
  </si>
  <si>
    <t>сантехнитечский</t>
  </si>
  <si>
    <t>Термоманометр</t>
  </si>
  <si>
    <t>газовый конденсационный</t>
  </si>
  <si>
    <t>Водонагреватель</t>
  </si>
  <si>
    <t>ёмкостный</t>
  </si>
  <si>
    <t>листовая эмалированная сталь</t>
  </si>
  <si>
    <t>Кран шаровый</t>
  </si>
  <si>
    <t>полнопроходной</t>
  </si>
  <si>
    <t>для систем отопления и водоснабжения, газа, сухого пара и жидких углеводородов</t>
  </si>
  <si>
    <t>латунь</t>
  </si>
  <si>
    <t>Соединение разборное</t>
  </si>
  <si>
    <t>чугун</t>
  </si>
  <si>
    <t>для систем трубопроводов воды, пара и неагрессивных жидкостей с резьбой ВР-НР</t>
  </si>
  <si>
    <t>«американка»</t>
  </si>
  <si>
    <t>Устройство водоочистное</t>
  </si>
  <si>
    <t>объем смолы - 25 л</t>
  </si>
  <si>
    <t>Расширительный бак</t>
  </si>
  <si>
    <t>мембранный</t>
  </si>
  <si>
    <t>для систем водоснабжения. Номинальный объем - 18 л. Настенный</t>
  </si>
  <si>
    <t>для систем отопления. Номинальный объем - 80 л. Напольный</t>
  </si>
  <si>
    <t>электронный насос котловой (класс А) 7608398 UPML 25-105-130 - 2 шт.</t>
  </si>
  <si>
    <t>Счетчик газовый</t>
  </si>
  <si>
    <t>ультразвуковой</t>
  </si>
  <si>
    <t>с приведением измеренного объема газа к стандартным условиям по температуре и давлению и возможностью подключения к системе INDEL</t>
  </si>
  <si>
    <t>патрубок (до счетчика) Труба 57х3,5 ГОСТ 8732-78 Ст 20 ГОСТ 1050-88 - 1 шт; патрубок (после счетчика) Труба 57х3,5 ГОСТ 8732-78 Ст 20 ГОСТ 1050-88 - 1 шт</t>
  </si>
  <si>
    <t>Клапан электромагнитный</t>
  </si>
  <si>
    <t>Диапазон давлений - 0…0,1 МПа</t>
  </si>
  <si>
    <t>газовый двухпозиционный муфтовый</t>
  </si>
  <si>
    <t>Клапан запорный</t>
  </si>
  <si>
    <t>для манометра</t>
  </si>
  <si>
    <t>Электродвигатель на постоянных магнитах</t>
  </si>
  <si>
    <t>чугун/нержавеющая сталь</t>
  </si>
  <si>
    <t>Клапан обратный</t>
  </si>
  <si>
    <t>осевой муфтовый</t>
  </si>
  <si>
    <t>для систем отопления, вентиляции, кондиционирования, ИТП, насосных систем, орошения, водоснабжения, технологических трубопроводов</t>
  </si>
  <si>
    <t>Фильтр</t>
  </si>
  <si>
    <t>сетчатый муфтовый</t>
  </si>
  <si>
    <t>для всех типов сред</t>
  </si>
  <si>
    <t>Клапан термозапорный</t>
  </si>
  <si>
    <t>Время срабатывания менее 60 сек. при температуре 100 °С</t>
  </si>
  <si>
    <t>газовый одноконтурный</t>
  </si>
  <si>
    <t>датчик наружной температуры воздуха, котловая арматура</t>
  </si>
  <si>
    <t>с закрытой камерой сгорания. Тип - A1HB</t>
  </si>
  <si>
    <t>для систем отопления. Номинальный объем - 12 л. Настенный</t>
  </si>
  <si>
    <t>объем - 158 л</t>
  </si>
  <si>
    <t>Воздухоотводчик</t>
  </si>
  <si>
    <t>автоматический</t>
  </si>
  <si>
    <t>для систем отопления и тепловых насосов. Теплоноситель - вода и водогликолевые смеси (доля гликоля 30%)</t>
  </si>
  <si>
    <t>Кран пробковый</t>
  </si>
  <si>
    <t>Для манометра</t>
  </si>
  <si>
    <t>Устройство отборное</t>
  </si>
  <si>
    <t>для охлаждения измеряемой среды, поступающей в рабочие полости манометра. Теплоноситель - вода, пар. Присоединение М20х1,5</t>
  </si>
  <si>
    <t>Печь</t>
  </si>
  <si>
    <t>газовая</t>
  </si>
  <si>
    <t>проходного типа для сушки пасты ПВХ на крышках</t>
  </si>
  <si>
    <t>Термометр</t>
  </si>
  <si>
    <t>осевой биметалический</t>
  </si>
  <si>
    <t>нержавеющая сталь/коррозионностойкая сталь</t>
  </si>
  <si>
    <t>для измерения температуры жидкостей, пара и газов в отопительных и санитарных установках, в системах кондиционирования и вентиляции. Класс точности 1.5. Длина штока - 46 мм</t>
  </si>
  <si>
    <t>Сталь</t>
  </si>
  <si>
    <t>Горелка</t>
  </si>
  <si>
    <t>соединительный фланец горелки (2 шт.), уплотнение фланца крепления горелки (1 шт.), шпильки М12 (4 шт.), шестигранные гайки М12 (4 шт.), плоские шайбы DN12 (4 шт.)</t>
  </si>
  <si>
    <t>Давление газа 4.4-36 кПа</t>
  </si>
  <si>
    <t>3.7</t>
  </si>
  <si>
    <t>9.2</t>
  </si>
  <si>
    <t>475-1900</t>
  </si>
  <si>
    <t>Газовая арматура</t>
  </si>
  <si>
    <t>одноступенчатая</t>
  </si>
  <si>
    <t>Элементы: блок клапанов с фильтром, регулятор расхода, стабилизатор давления, регулятор скорости подъема клапана, реле минимального давления с функцией контроля герметичности клапанов, монтажный фланец, колено, штуцер</t>
  </si>
  <si>
    <t>55.5</t>
  </si>
  <si>
    <t>24.8</t>
  </si>
  <si>
    <t>0.55</t>
  </si>
  <si>
    <t>2.4</t>
  </si>
  <si>
    <t>циркуляционный с сухим ротором</t>
  </si>
  <si>
    <t>5.5</t>
  </si>
  <si>
    <t>11.1</t>
  </si>
  <si>
    <t>Теплообменник</t>
  </si>
  <si>
    <t>пластинчатый</t>
  </si>
  <si>
    <t xml:space="preserve">Пластин - 39 шт. Число ходов - 1. </t>
  </si>
  <si>
    <t>501.5</t>
  </si>
  <si>
    <t>5.3</t>
  </si>
  <si>
    <t>0.75</t>
  </si>
  <si>
    <t>1.57</t>
  </si>
  <si>
    <t>Затвор</t>
  </si>
  <si>
    <t>дисковый межфланцевый поворотный</t>
  </si>
  <si>
    <t>нержавеющая сталь/чугун</t>
  </si>
  <si>
    <t>дисковый межфланцевый поворотный с электроприводом</t>
  </si>
  <si>
    <t>0.1</t>
  </si>
  <si>
    <t>Клапан</t>
  </si>
  <si>
    <t>обратный двухстворчатый межфланцевый</t>
  </si>
  <si>
    <t>Для удаления механических примесей с центробежной префильтрацией</t>
  </si>
  <si>
    <t>Для удаление железа и солей жесткости. Потребление натрия хлористого на 1 регенерацию - 6,25 кг. Потребление воды на регенерацию – 0,2-0,3 м³</t>
  </si>
  <si>
    <t>Установка умягчения. Объем ионообменной смолы – 12,5 л. Потребление натрия хлористого на 1 регенерацию - 1,2кг. Потребление воды на регенерацию - 60 л</t>
  </si>
  <si>
    <t>для систем отопления. Номинальный объем - 1200 л. Напольный</t>
  </si>
  <si>
    <t>Электропривод</t>
  </si>
  <si>
    <t>редукторный</t>
  </si>
  <si>
    <t>Ход штока - 40 мм. Скорость - 3 с/мм</t>
  </si>
  <si>
    <t>Клапан регулирующий</t>
  </si>
  <si>
    <t>трехходовой, седельный, фланцевый</t>
  </si>
  <si>
    <t>Счетчик воды</t>
  </si>
  <si>
    <t>крыльчатый</t>
  </si>
  <si>
    <t>0.03</t>
  </si>
  <si>
    <t>Теплоноситель - вода, углеводороды, природный газ, пар</t>
  </si>
  <si>
    <t>нормально закрытый</t>
  </si>
  <si>
    <t>Диапазон давления - 0…0,036 МПа</t>
  </si>
  <si>
    <t>0.124</t>
  </si>
  <si>
    <t>0.54</t>
  </si>
  <si>
    <t>Клапан предохранительный</t>
  </si>
  <si>
    <t>пружинный</t>
  </si>
  <si>
    <t>Прямого действия с рычагом управления. Теплоноситель - вода, воздух, пар</t>
  </si>
  <si>
    <t>100/150</t>
  </si>
  <si>
    <t>водогрейный твердотопливный</t>
  </si>
  <si>
    <t>Регулятор давления газа</t>
  </si>
  <si>
    <t>Рвх = 0.6 Mпa, Рвых =2 кПa</t>
  </si>
  <si>
    <t>20/32</t>
  </si>
  <si>
    <t>трехходовой</t>
  </si>
  <si>
    <t>для систем отопления, охлаждения и подогрева полов</t>
  </si>
  <si>
    <t>водогрейный жидкотопливный</t>
  </si>
  <si>
    <t>для систем отопления и горячего водоснабжения</t>
  </si>
  <si>
    <t>автоматика Diematic 3</t>
  </si>
  <si>
    <t>жидкотопливная</t>
  </si>
  <si>
    <t>36-166</t>
  </si>
  <si>
    <t>Разделитель гидравлический</t>
  </si>
  <si>
    <t>диаметр 125 мм, высота 500 мм</t>
  </si>
  <si>
    <t>для систем отопления. Номинальный объем - 35 л. Напольный</t>
  </si>
  <si>
    <t>Бойлер</t>
  </si>
  <si>
    <t>косвенного нагрева</t>
  </si>
  <si>
    <t>Объем - 465 л. Площадь змеевика - 2.25 м². Толщина изоляции 70 мм</t>
  </si>
  <si>
    <t>трехходовой, муфтовый</t>
  </si>
  <si>
    <t>бронза</t>
  </si>
  <si>
    <t>Объем - 1500 л. Толщина изоляции 90 мм</t>
  </si>
  <si>
    <t>нержавейщая сталь</t>
  </si>
  <si>
    <t>нормальновсасывающий многосекционный центробежный</t>
  </si>
  <si>
    <t>25/32</t>
  </si>
  <si>
    <t>для систем холодного водоснабжения. Номинальный объем - 100 л. Напольный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</si>
</sst>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Google Sans"/>
      <family val="2"/>
      <charset val="204"/>
    </font>
    <font>
      <sz val="8"/>
      <name val="Calibri"/>
      <family val="2"/>
      <scheme val="minor"/>
    </font>
    <font>
      <sz val="11"/>
      <color theme="0"/>
      <name val="Google Sans"/>
      <family val="2"/>
      <charset val="204"/>
    </font>
    <font>
      <sz val="11"/>
      <name val="Google Sans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7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Google Sans"/>
        <family val="2"/>
        <charset val="204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0066"/>
      <color rgb="FFCB55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540465-85C0-4696-ADCE-DB5D639D5159}" name="Таблица2" displayName="Таблица2" ref="A2:V84" headerRowDxfId="73" dataDxfId="72">
  <autoFilter ref="A2:V84" xr:uid="{62B2B181-EB89-47EB-9793-9DA19E62A6B5}"/>
  <sortState xmlns:xlrd2="http://schemas.microsoft.com/office/spreadsheetml/2017/richdata2" ref="A3:V84">
    <sortCondition ref="A2:A84"/>
  </sortState>
  <tableColumns count="22">
    <tableColumn id="2" xr3:uid="{FE0F3B14-D737-4ED6-8406-45BC963578B7}" name="Функциональный тип" totalsRowLabel="Итог" dataDxfId="71" totalsRowDxfId="70"/>
    <tableColumn id="3" xr3:uid="{7EE827DD-36B8-4006-9CCC-BE69687C29CD}" name="Функциональный подтип" dataDxfId="69" totalsRowDxfId="68"/>
    <tableColumn id="21" xr3:uid="{1280E6DB-B3EF-41A1-B065-12453AF1DBB0}" name="Описание" dataDxfId="67" totalsRowDxfId="66"/>
    <tableColumn id="22" xr3:uid="{8AC176EF-08B7-4A63-8C33-571518F089E0}" name="Комплектация" dataDxfId="65" totalsRowDxfId="64"/>
    <tableColumn id="6" xr3:uid="{A8A08575-2DCD-42A1-A232-9FA611B6FD8B}" name="Материал изделия" dataDxfId="63" totalsRowDxfId="62"/>
    <tableColumn id="5" xr3:uid="{DAA73CA7-B8F3-4A5E-8D4C-7973EA664CD5}" name="Класс герметичности" dataDxfId="61" totalsRowDxfId="60"/>
    <tableColumn id="8" xr3:uid="{17EC286F-4693-4605-8BD8-4784DE2B884E}" name="Номинальное давление, бар" dataDxfId="59" totalsRowDxfId="58"/>
    <tableColumn id="1" xr3:uid="{B58EDE00-C0DE-4386-AE97-0AAAE1F65B61}" name="Условный проход, мм" dataDxfId="57" totalsRowDxfId="56"/>
    <tableColumn id="4" xr3:uid="{F884664A-90B5-4D22-A940-3C228E3B5F1F}" name="Мощность, кВт" dataDxfId="55" totalsRowDxfId="54"/>
    <tableColumn id="25" xr3:uid="{7E1AEBA8-907F-430D-947D-2AE6B2D8EF40}" name="КПД, %" dataDxfId="53" totalsRowDxfId="52"/>
    <tableColumn id="9" xr3:uid="{C76A46FE-15B3-4394-8D78-B112B2ACCB89}" name="Минимальный расход, м³/ч" dataDxfId="51" totalsRowDxfId="50"/>
    <tableColumn id="10" xr3:uid="{3ED0E89E-1C75-460A-A4E9-F3912F1385DB}" name="Максимальный расход, м³/ч" dataDxfId="49" totalsRowDxfId="48"/>
    <tableColumn id="18" xr3:uid="{3A842D03-D26A-4813-AAE2-363AF9B9157F}" name="KVS, м³/ч" dataDxfId="47" totalsRowDxfId="46"/>
    <tableColumn id="23" xr3:uid="{D9625692-A6E3-4378-9FEA-4C208DF64578}" name="Напор, м" dataDxfId="45" totalsRowDxfId="44"/>
    <tableColumn id="11" xr3:uid="{305F6A18-A42B-4FBE-9065-72E1CEC0878A}" name="Минимальная температура, °C" dataDxfId="43" totalsRowDxfId="42"/>
    <tableColumn id="12" xr3:uid="{901C88AB-5714-49CB-9491-066EB135B1E4}" name="Максимальная температура, °C" dataDxfId="41" totalsRowDxfId="40"/>
    <tableColumn id="13" xr3:uid="{20A4FEF4-087B-4131-9D3D-D00E0EF2AE5A}" name="Электрическая мощность, кВт" dataDxfId="39" totalsRowDxfId="38"/>
    <tableColumn id="14" xr3:uid="{70975890-9B50-4822-8027-DD7CD8986B63}" name="Номинальный ток, А" dataDxfId="37" totalsRowDxfId="36"/>
    <tableColumn id="15" xr3:uid="{64E59E43-683E-4F2A-B64A-462D5BAD2FD8}" name="Фазы, шт" dataDxfId="35" totalsRowDxfId="34"/>
    <tableColumn id="16" xr3:uid="{298CE66F-71D5-4063-AA4C-B9CEF02DB19D}" name="Напряжение, В" dataDxfId="33" totalsRowDxfId="32"/>
    <tableColumn id="17" xr3:uid="{529064C2-19FC-40A3-A9FE-8CC936CC4E6E}" name="Частота сети, Hz" dataDxfId="31" totalsRowDxfId="30"/>
    <tableColumn id="7" xr3:uid="{9508762F-58D0-4656-AEE3-48229A0FC2D2}" name="Наименование загружаемого семейства" totalsRowFunction="count" dataDxfId="29" totalsRowDxfId="28">
      <calculatedColumnFormula>SUBSTITUTE(_xludf.Concat(Таблица2[[#This Row],[Функциональный тип]:[Частота сети, Hz]]),";",",")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B603A-8229-47D6-A1AF-CBAFCA8A2CCA}">
  <sheetPr codeName="Лист1"/>
  <dimension ref="A1:V84"/>
  <sheetViews>
    <sheetView tabSelected="1" topLeftCell="S1" zoomScale="85" zoomScaleNormal="85" workbookViewId="0">
      <pane ySplit="2" topLeftCell="A15" activePane="bottomLeft" state="frozen"/>
      <selection pane="bottomLeft" activeCell="V18" sqref="V18"/>
    </sheetView>
  </sheetViews>
  <sheetFormatPr defaultColWidth="0" defaultRowHeight="15" x14ac:dyDescent="0.25"/>
  <cols>
    <col min="1" max="1" width="40.140625" style="1" customWidth="1"/>
    <col min="2" max="4" width="34.140625" style="1" customWidth="1"/>
    <col min="5" max="5" width="22.140625" style="1" customWidth="1"/>
    <col min="6" max="6" width="18" style="1" customWidth="1"/>
    <col min="7" max="8" width="17.7109375" style="1" customWidth="1"/>
    <col min="9" max="9" width="14.7109375" customWidth="1"/>
    <col min="10" max="10" width="14.7109375" style="1" customWidth="1"/>
    <col min="11" max="21" width="17.7109375" style="1" customWidth="1"/>
    <col min="22" max="22" width="255.7109375" style="1" customWidth="1"/>
    <col min="23" max="16384" width="9.140625" style="1" hidden="1"/>
  </cols>
  <sheetData>
    <row r="1" spans="1:22" ht="15" customHeight="1" x14ac:dyDescent="0.25">
      <c r="A1" s="11" t="s">
        <v>21</v>
      </c>
      <c r="B1" s="12"/>
      <c r="C1" s="12"/>
      <c r="D1" s="13"/>
      <c r="E1" s="14" t="s">
        <v>37</v>
      </c>
      <c r="F1" s="15"/>
      <c r="G1" s="15"/>
      <c r="H1" s="16"/>
      <c r="I1" s="8" t="s">
        <v>22</v>
      </c>
      <c r="J1" s="9"/>
      <c r="K1" s="10" t="s">
        <v>25</v>
      </c>
      <c r="L1" s="10"/>
      <c r="M1" s="10"/>
      <c r="N1" s="10"/>
      <c r="O1" s="6" t="s">
        <v>23</v>
      </c>
      <c r="P1" s="6"/>
      <c r="Q1" s="7" t="s">
        <v>24</v>
      </c>
      <c r="R1" s="7"/>
      <c r="S1" s="7"/>
      <c r="T1" s="7"/>
      <c r="U1" s="7"/>
      <c r="V1" s="2"/>
    </row>
    <row r="2" spans="1:22" ht="72" customHeight="1" x14ac:dyDescent="0.25">
      <c r="A2" s="2" t="s">
        <v>1</v>
      </c>
      <c r="B2" s="2" t="s">
        <v>0</v>
      </c>
      <c r="C2" s="2" t="s">
        <v>36</v>
      </c>
      <c r="D2" s="4" t="s">
        <v>20</v>
      </c>
      <c r="E2" s="3" t="s">
        <v>38</v>
      </c>
      <c r="F2" s="3" t="s">
        <v>26</v>
      </c>
      <c r="G2" s="2" t="s">
        <v>6</v>
      </c>
      <c r="H2" s="4" t="s">
        <v>7</v>
      </c>
      <c r="I2" s="2" t="s">
        <v>5</v>
      </c>
      <c r="J2" s="4" t="s">
        <v>8</v>
      </c>
      <c r="K2" s="2" t="s">
        <v>9</v>
      </c>
      <c r="L2" s="2" t="s">
        <v>10</v>
      </c>
      <c r="M2" s="2" t="s">
        <v>18</v>
      </c>
      <c r="N2" s="4" t="s">
        <v>19</v>
      </c>
      <c r="O2" s="2" t="s">
        <v>11</v>
      </c>
      <c r="P2" s="4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4" t="s">
        <v>17</v>
      </c>
      <c r="V2" s="2" t="s">
        <v>2</v>
      </c>
    </row>
    <row r="3" spans="1:22" ht="30" x14ac:dyDescent="0.25">
      <c r="A3" s="1" t="s">
        <v>45</v>
      </c>
      <c r="B3" s="1" t="s">
        <v>46</v>
      </c>
      <c r="D3" s="1" t="s">
        <v>47</v>
      </c>
      <c r="G3" s="1">
        <v>16</v>
      </c>
      <c r="H3" s="1">
        <v>40</v>
      </c>
      <c r="I3" s="1"/>
      <c r="P3" s="1">
        <v>60</v>
      </c>
      <c r="V3" s="5" t="str">
        <f>SUBSTITUTE(_xludf.Concat(Таблица2[[#This Row],[Функциональный тип]:[Частота сети, Hz]]),";",",")</f>
        <v>Блок автоматической заправки  предварительно регулируемый. PN16, DN40. Термические показатели: Tmax = 60 °C. В комплект поставки входит: манометр</v>
      </c>
    </row>
    <row r="4" spans="1:22" ht="45" x14ac:dyDescent="0.25">
      <c r="A4" s="1" t="s">
        <v>182</v>
      </c>
      <c r="B4" s="1" t="s">
        <v>183</v>
      </c>
      <c r="C4" s="1" t="s">
        <v>184</v>
      </c>
      <c r="G4" s="1">
        <v>6</v>
      </c>
      <c r="H4" s="1">
        <v>20</v>
      </c>
      <c r="I4" s="1">
        <v>65</v>
      </c>
      <c r="P4" s="1">
        <v>80</v>
      </c>
      <c r="V4" s="5" t="str">
        <f>SUBSTITUTE(_xludf.Concat(Таблица2[[#This Row],[Функциональный тип]:[Частота сети, Hz]]),";",",")</f>
        <v>Бойлер косвенного нагрева. Объем - 465 л. Площадь змеевика - 2.25 м². Толщина изоляции 70 мм. PN6, DN20. Механические показатели: Q = 65 кВт. Термические показатели: Tmax = 80 °C</v>
      </c>
    </row>
    <row r="5" spans="1:22" ht="30" x14ac:dyDescent="0.25">
      <c r="A5" s="1" t="s">
        <v>182</v>
      </c>
      <c r="C5" s="1" t="s">
        <v>187</v>
      </c>
      <c r="E5" s="1" t="s">
        <v>188</v>
      </c>
      <c r="G5" s="1">
        <v>6</v>
      </c>
      <c r="I5" s="1">
        <v>273</v>
      </c>
      <c r="P5" s="1">
        <v>95</v>
      </c>
      <c r="V5" s="5" t="str">
        <f>SUBSTITUTE(_xludf.Concat(Таблица2[[#This Row],[Функциональный тип]:[Частота сети, Hz]]),";",",")</f>
        <v>Бойлер. Объем - 1500 л. Толщина изоляции 90 мм. Материал - нержавейщая сталь, PN6. Механические показатели: Q = 273 кВт. Термические показатели: Tmax = 95 °C</v>
      </c>
    </row>
    <row r="6" spans="1:22" x14ac:dyDescent="0.25">
      <c r="A6" s="1" t="s">
        <v>60</v>
      </c>
      <c r="B6" s="1" t="s">
        <v>61</v>
      </c>
      <c r="C6" s="1" t="s">
        <v>101</v>
      </c>
      <c r="E6" s="1" t="s">
        <v>39</v>
      </c>
      <c r="G6" s="1">
        <v>16</v>
      </c>
      <c r="I6" s="1">
        <v>25</v>
      </c>
      <c r="P6" s="1">
        <v>110</v>
      </c>
      <c r="V6" s="5" t="str">
        <f>SUBSTITUTE(_xludf.Concat(Таблица2[[#This Row],[Функциональный тип]:[Частота сети, Hz]]),";",",")</f>
        <v>Водонагреватель ёмкостный. Объем - 158 л. Материал - сталь, PN16. Механические показатели: Q = 25 кВт. Термические показатели: Tmax = 110 °C</v>
      </c>
    </row>
    <row r="7" spans="1:22" ht="45" x14ac:dyDescent="0.25">
      <c r="A7" s="1" t="s">
        <v>60</v>
      </c>
      <c r="B7" s="1" t="s">
        <v>61</v>
      </c>
      <c r="E7" s="1" t="s">
        <v>62</v>
      </c>
      <c r="G7" s="1">
        <v>10</v>
      </c>
      <c r="I7" s="1">
        <v>32</v>
      </c>
      <c r="P7" s="1">
        <v>95</v>
      </c>
      <c r="V7" s="5" t="str">
        <f>SUBSTITUTE(_xludf.Concat(Таблица2[[#This Row],[Функциональный тип]:[Частота сети, Hz]]),";",",")</f>
        <v>Водонагреватель ёмкостный. Материал - листовая эмалированная сталь, PN10. Механические показатели: Q = 32 кВт. Термические показатели: Tmax = 95 °C</v>
      </c>
    </row>
    <row r="8" spans="1:22" ht="75" x14ac:dyDescent="0.25">
      <c r="A8" s="1" t="s">
        <v>102</v>
      </c>
      <c r="B8" s="1" t="s">
        <v>103</v>
      </c>
      <c r="C8" s="1" t="s">
        <v>104</v>
      </c>
      <c r="E8" s="1" t="s">
        <v>66</v>
      </c>
      <c r="G8" s="1">
        <v>10</v>
      </c>
      <c r="H8" s="1">
        <v>10</v>
      </c>
      <c r="I8" s="1"/>
      <c r="O8" s="1">
        <v>0</v>
      </c>
      <c r="P8" s="1">
        <v>110</v>
      </c>
      <c r="V8" s="5" t="str">
        <f>SUBSTITUTE(_xludf.Concat(Таблица2[[#This Row],[Функциональный тип]:[Частота сети, Hz]]),";",",")</f>
        <v>Воздухоотводчик автоматический. Для систем отопления и тепловых насосов. Теплоноситель - вода и водогликолевые смеси (доля гликоля 30%). Материал - латунь, PN10, DN10. Термические показатели: Tmin = 0 °C, Tmax = 110 °C</v>
      </c>
    </row>
    <row r="9" spans="1:22" ht="135" x14ac:dyDescent="0.25">
      <c r="A9" s="1" t="s">
        <v>123</v>
      </c>
      <c r="B9" s="1" t="s">
        <v>124</v>
      </c>
      <c r="C9" s="1" t="s">
        <v>125</v>
      </c>
      <c r="H9" s="1">
        <v>50</v>
      </c>
      <c r="I9" s="1"/>
      <c r="V9" s="5" t="str">
        <f>SUBSTITUTE(_xludf.Concat(Таблица2[[#This Row],[Функциональный тип]:[Частота сети, Hz]]),";",",")</f>
        <v>Газовая арматура одноступенчатая. Элементы: блок клапанов с фильтром, регулятор расхода, стабилизатор давления, регулятор скорости подъема клапана, реле минимального давления с функцией контроля герметичности клапанов, монтажный фланец, колено, штуцер. DN50</v>
      </c>
    </row>
    <row r="10" spans="1:22" ht="105" x14ac:dyDescent="0.25">
      <c r="A10" s="1" t="s">
        <v>117</v>
      </c>
      <c r="B10" s="1" t="s">
        <v>110</v>
      </c>
      <c r="C10" s="1" t="s">
        <v>119</v>
      </c>
      <c r="D10" s="1" t="s">
        <v>118</v>
      </c>
      <c r="I10" s="1" t="s">
        <v>122</v>
      </c>
      <c r="Q10" s="1" t="s">
        <v>120</v>
      </c>
      <c r="R10" s="1" t="s">
        <v>121</v>
      </c>
      <c r="S10" s="1">
        <v>3</v>
      </c>
      <c r="T10" s="1">
        <v>400</v>
      </c>
      <c r="U10" s="1">
        <v>50</v>
      </c>
      <c r="V10" s="5" t="str">
        <f>SUBSTITUTE(_xludf.Concat(Таблица2[[#This Row],[Функциональный тип]:[Частота сети, Hz]]),";",",")</f>
        <v>Горелка газовая. Давление газа 4.4-36 кПа. Механические показатели: Q = 475-1900 кВт. Электрические показатели: N = 3.7 кВт, I = 9.2 А, U = 3~400 В, f = 50 Гц. В комплект поставки входит: соединительный фланец горелки (2 шт.), уплотнение фланца крепления горелки (1 шт.), шпильки М12 (4 шт.), шестигранные гайки М12 (4 шт.), плоские шайбы DN12 (4 шт.)</v>
      </c>
    </row>
    <row r="11" spans="1:22" x14ac:dyDescent="0.25">
      <c r="A11" s="1" t="s">
        <v>117</v>
      </c>
      <c r="B11" s="1" t="s">
        <v>177</v>
      </c>
      <c r="C11" s="1" t="s">
        <v>124</v>
      </c>
      <c r="I11" s="1" t="s">
        <v>178</v>
      </c>
      <c r="Q11" s="1">
        <v>0.18</v>
      </c>
      <c r="R11" s="1">
        <v>2.2999999999999998</v>
      </c>
      <c r="S11" s="1">
        <v>1</v>
      </c>
      <c r="T11" s="1">
        <v>230</v>
      </c>
      <c r="U11" s="1">
        <v>50</v>
      </c>
      <c r="V11" s="5" t="str">
        <f>SUBSTITUTE(_xludf.Concat(Таблица2[[#This Row],[Функциональный тип]:[Частота сети, Hz]]),";",",")</f>
        <v>Горелка жидкотопливная. Одноступенчатая. Механические показатели: Q = 36-166 кВт. Электрические показатели: N = 0.18 кВт, I = 2.3 А, U = 1~230 В, f = 50 Гц</v>
      </c>
    </row>
    <row r="12" spans="1:22" ht="30" x14ac:dyDescent="0.25">
      <c r="A12" s="1" t="s">
        <v>140</v>
      </c>
      <c r="B12" s="1" t="s">
        <v>141</v>
      </c>
      <c r="E12" s="1" t="s">
        <v>142</v>
      </c>
      <c r="F12" s="1" t="s">
        <v>27</v>
      </c>
      <c r="G12" s="1">
        <v>16</v>
      </c>
      <c r="H12" s="1">
        <v>40</v>
      </c>
      <c r="I12" s="1"/>
      <c r="M12" s="1">
        <v>1</v>
      </c>
      <c r="O12" s="1">
        <v>-15</v>
      </c>
      <c r="P12" s="1">
        <v>130</v>
      </c>
      <c r="V12" s="5" t="str">
        <f>SUBSTITUTE(_xludf.Concat(Таблица2[[#This Row],[Функциональный тип]:[Частота сети, Hz]]),";",",")</f>
        <v>Затвор дисковый межфланцевый поворотный. Материал - нержавеющая сталь/чугун, класс герметичности А, PN16, DN40. Гидравлические показатели: KVS = 1 м³/ч. Термические показатели: Tmin = -15 °C, Tmax = 130 °C</v>
      </c>
    </row>
    <row r="13" spans="1:22" ht="45" x14ac:dyDescent="0.25">
      <c r="A13" s="1" t="s">
        <v>140</v>
      </c>
      <c r="B13" s="1" t="s">
        <v>143</v>
      </c>
      <c r="E13" s="1" t="s">
        <v>142</v>
      </c>
      <c r="F13" s="1" t="s">
        <v>27</v>
      </c>
      <c r="G13" s="1">
        <v>16</v>
      </c>
      <c r="H13" s="1">
        <v>40</v>
      </c>
      <c r="I13" s="1"/>
      <c r="M13" s="1">
        <v>1</v>
      </c>
      <c r="O13" s="1">
        <v>-15</v>
      </c>
      <c r="P13" s="1">
        <v>130</v>
      </c>
      <c r="Q13" s="1" t="s">
        <v>144</v>
      </c>
      <c r="R13" s="1">
        <v>2</v>
      </c>
      <c r="S13" s="1">
        <v>3</v>
      </c>
      <c r="T13" s="1">
        <v>400</v>
      </c>
      <c r="U13" s="1">
        <v>50</v>
      </c>
      <c r="V13" s="5" t="str">
        <f>SUBSTITUTE(_xludf.Concat(Таблица2[[#This Row],[Функциональный тип]:[Частота сети, Hz]]),";",",")</f>
        <v>Затвор дисковый межфланцевый поворотный с электроприводом. Материал - нержавеющая сталь/чугун, класс герметичности А, PN16, DN40. Гидравлические показатели: KVS = 1 м³/ч. Термические показатели: Tmin = -15 °C, Tmax = 130 °C. Электрические показатели: N = 0.1 кВт, I = 2 А, U = 3~400 В, f = 50 Гц</v>
      </c>
    </row>
    <row r="14" spans="1:22" ht="30" x14ac:dyDescent="0.25">
      <c r="A14" s="1" t="s">
        <v>145</v>
      </c>
      <c r="B14" s="1" t="s">
        <v>146</v>
      </c>
      <c r="E14" s="1" t="s">
        <v>142</v>
      </c>
      <c r="G14" s="1">
        <v>16</v>
      </c>
      <c r="H14" s="1">
        <v>40</v>
      </c>
      <c r="I14" s="1"/>
      <c r="M14" s="1">
        <v>1</v>
      </c>
      <c r="P14" s="1">
        <v>110</v>
      </c>
      <c r="V14" s="5" t="str">
        <f>SUBSTITUTE(_xludf.Concat(Таблица2[[#This Row],[Функциональный тип]:[Частота сети, Hz]]),";",",")</f>
        <v>Клапан обратный двухстворчатый межфланцевый. Материал - нержавеющая сталь/чугун, PN16, DN40. Гидравлические показатели: KVS = 1 м³/ч. Термические показатели: Tmax = 110 °C</v>
      </c>
    </row>
    <row r="15" spans="1:22" x14ac:dyDescent="0.25">
      <c r="A15" s="1" t="s">
        <v>85</v>
      </c>
      <c r="B15" s="1" t="s">
        <v>86</v>
      </c>
      <c r="E15" s="1" t="s">
        <v>66</v>
      </c>
      <c r="F15" s="1" t="s">
        <v>27</v>
      </c>
      <c r="G15" s="1">
        <v>16</v>
      </c>
      <c r="H15" s="1">
        <v>15</v>
      </c>
      <c r="I15" s="1"/>
      <c r="V15" s="5" t="str">
        <f>SUBSTITUTE(_xludf.Concat(Таблица2[[#This Row],[Функциональный тип]:[Частота сети, Hz]]),";",",")</f>
        <v>Клапан запорный для манометра. Материал - латунь, класс герметичности А, PN16, DN15</v>
      </c>
    </row>
    <row r="16" spans="1:22" ht="105" x14ac:dyDescent="0.25">
      <c r="A16" s="1" t="s">
        <v>89</v>
      </c>
      <c r="B16" s="1" t="s">
        <v>90</v>
      </c>
      <c r="C16" s="1" t="s">
        <v>91</v>
      </c>
      <c r="E16" s="1" t="s">
        <v>66</v>
      </c>
      <c r="F16" s="1" t="s">
        <v>27</v>
      </c>
      <c r="G16" s="1">
        <v>16</v>
      </c>
      <c r="H16" s="1">
        <v>15</v>
      </c>
      <c r="I16" s="1"/>
      <c r="O16" s="1">
        <v>-20</v>
      </c>
      <c r="P16" s="1">
        <v>100</v>
      </c>
      <c r="V16" s="5" t="str">
        <f>SUBSTITUTE(_xludf.Concat(Таблица2[[#This Row],[Функциональный тип]:[Частота сети, Hz]]),";",",")</f>
        <v>Клапан обратный осевой муфтовый. Для систем отопления, вентиляции, кондиционирования, ИТП, насосных систем, орошения, водоснабжения, технологических трубопроводов. Материал - латунь, класс герметичности А, PN16, DN15. Термические показатели: Tmin = -20 °C, Tmax = 100 °C</v>
      </c>
    </row>
    <row r="17" spans="1:22" ht="45" x14ac:dyDescent="0.25">
      <c r="A17" s="1" t="s">
        <v>164</v>
      </c>
      <c r="B17" s="1" t="s">
        <v>165</v>
      </c>
      <c r="C17" s="1" t="s">
        <v>166</v>
      </c>
      <c r="E17" s="1" t="s">
        <v>88</v>
      </c>
      <c r="G17" s="1">
        <v>16</v>
      </c>
      <c r="H17" s="1" t="s">
        <v>167</v>
      </c>
      <c r="I17" s="1"/>
      <c r="O17" s="1">
        <v>-10</v>
      </c>
      <c r="P17" s="1">
        <v>300</v>
      </c>
      <c r="V17" s="5" t="str">
        <f>SUBSTITUTE(_xludf.Concat(Таблица2[[#This Row],[Функциональный тип]:[Частота сети, Hz]]),";",",")</f>
        <v>Клапан предохранительный пружинный. Прямого действия с рычагом управления. Теплоноситель - вода, воздух, пар. Материал - чугун/нержавеющая сталь, PN16, DN100/150. Термические показатели: Tmin = -10 °C, Tmax = 300 °C</v>
      </c>
    </row>
    <row r="18" spans="1:22" ht="30" x14ac:dyDescent="0.25">
      <c r="A18" s="1" t="s">
        <v>154</v>
      </c>
      <c r="B18" s="1" t="s">
        <v>155</v>
      </c>
      <c r="E18" s="1" t="s">
        <v>88</v>
      </c>
      <c r="G18" s="1">
        <v>16</v>
      </c>
      <c r="H18" s="1">
        <v>80</v>
      </c>
      <c r="I18" s="1"/>
      <c r="M18" s="1">
        <v>100</v>
      </c>
      <c r="O18" s="1">
        <v>2</v>
      </c>
      <c r="P18" s="1">
        <v>150</v>
      </c>
      <c r="V18" s="5" t="str">
        <f>SUBSTITUTE(_xludf.Concat(Таблица2[[#This Row],[Функциональный тип]:[Частота сети, Hz]]),";",",")</f>
        <v>Клапан регулирующий трехходовой, седельный, фланцевый. Материал - чугун/нержавеющая сталь, PN16, DN80. Гидравлические показатели: KVS = 100 м³/ч. Термические показатели: Tmin = 2 °C, Tmax = 150 °C</v>
      </c>
    </row>
    <row r="19" spans="1:22" ht="30" x14ac:dyDescent="0.25">
      <c r="A19" s="1" t="s">
        <v>154</v>
      </c>
      <c r="B19" s="1" t="s">
        <v>155</v>
      </c>
      <c r="E19" s="1" t="s">
        <v>88</v>
      </c>
      <c r="G19" s="1">
        <v>16</v>
      </c>
      <c r="H19" s="1">
        <v>125</v>
      </c>
      <c r="I19" s="1"/>
      <c r="M19" s="1">
        <v>200</v>
      </c>
      <c r="O19" s="1">
        <v>-10</v>
      </c>
      <c r="P19" s="1">
        <v>200</v>
      </c>
      <c r="V19" s="5" t="str">
        <f>SUBSTITUTE(_xludf.Concat(Таблица2[[#This Row],[Функциональный тип]:[Частота сети, Hz]]),";",",")</f>
        <v>Клапан регулирующий трехходовой, седельный, фланцевый. Материал - чугун/нержавеющая сталь, PN16, DN125. Гидравлические показатели: KVS = 200 м³/ч. Термические показатели: Tmin = -10 °C, Tmax = 200 °C</v>
      </c>
    </row>
    <row r="20" spans="1:22" ht="30" x14ac:dyDescent="0.25">
      <c r="A20" s="1" t="s">
        <v>154</v>
      </c>
      <c r="B20" s="1" t="s">
        <v>172</v>
      </c>
      <c r="C20" s="1" t="s">
        <v>173</v>
      </c>
      <c r="G20" s="1">
        <v>10</v>
      </c>
      <c r="H20" s="1">
        <v>32</v>
      </c>
      <c r="I20" s="1"/>
      <c r="M20" s="1">
        <v>16</v>
      </c>
      <c r="O20" s="1">
        <v>5</v>
      </c>
      <c r="P20" s="1">
        <v>110</v>
      </c>
      <c r="V20" s="5" t="str">
        <f>SUBSTITUTE(_xludf.Concat(Таблица2[[#This Row],[Функциональный тип]:[Частота сети, Hz]]),";",",")</f>
        <v>Клапан регулирующий трехходовой. Для систем отопления, охлаждения и подогрева полов. PN10, DN32. Гидравлические показатели: KVS = 16 м³/ч. Термические показатели: Tmin = 5 °C, Tmax = 110 °C</v>
      </c>
    </row>
    <row r="21" spans="1:22" x14ac:dyDescent="0.25">
      <c r="A21" s="1" t="s">
        <v>154</v>
      </c>
      <c r="B21" s="1" t="s">
        <v>172</v>
      </c>
      <c r="E21" s="1" t="s">
        <v>66</v>
      </c>
      <c r="G21" s="1">
        <v>10</v>
      </c>
      <c r="H21" s="1">
        <v>15</v>
      </c>
      <c r="I21" s="1"/>
      <c r="M21" s="1">
        <v>0.4</v>
      </c>
      <c r="V21" s="5" t="str">
        <f>SUBSTITUTE(_xludf.Concat(Таблица2[[#This Row],[Функциональный тип]:[Частота сети, Hz]]),";",",")</f>
        <v>Клапан регулирующий трехходовой. Материал - латунь, PN10, DN15. Гидравлические показатели: KVS = 0.4 м³/ч</v>
      </c>
    </row>
    <row r="22" spans="1:22" x14ac:dyDescent="0.25">
      <c r="A22" s="1" t="s">
        <v>154</v>
      </c>
      <c r="B22" s="1" t="s">
        <v>185</v>
      </c>
      <c r="E22" s="1" t="s">
        <v>186</v>
      </c>
      <c r="G22" s="1">
        <v>16</v>
      </c>
      <c r="H22" s="1">
        <v>40</v>
      </c>
      <c r="I22" s="1"/>
      <c r="M22" s="1">
        <v>25</v>
      </c>
      <c r="O22" s="1">
        <v>-10</v>
      </c>
      <c r="P22" s="1">
        <v>130</v>
      </c>
      <c r="V22" s="5" t="str">
        <f>SUBSTITUTE(_xludf.Concat(Таблица2[[#This Row],[Функциональный тип]:[Частота сети, Hz]]),";",",")</f>
        <v>Клапан регулирующий трехходовой, муфтовый. Материал - бронза, PN16, DN40. Гидравлические показатели: KVS = 25 м³/ч. Термические показатели: Tmin = -10 °C, Tmax = 130 °C</v>
      </c>
    </row>
    <row r="23" spans="1:22" ht="30" x14ac:dyDescent="0.25">
      <c r="A23" s="1" t="s">
        <v>95</v>
      </c>
      <c r="C23" s="1" t="s">
        <v>96</v>
      </c>
      <c r="E23" s="1" t="s">
        <v>66</v>
      </c>
      <c r="G23" s="1">
        <v>5</v>
      </c>
      <c r="H23" s="1">
        <v>20</v>
      </c>
      <c r="I23" s="1"/>
      <c r="O23" s="1">
        <v>-20</v>
      </c>
      <c r="P23" s="1">
        <v>60</v>
      </c>
      <c r="V23" s="5" t="str">
        <f>SUBSTITUTE(_xludf.Concat(Таблица2[[#This Row],[Функциональный тип]:[Частота сети, Hz]]),";",",")</f>
        <v>Клапан термозапорный. Время срабатывания менее 60 сек. при температуре 100 °С. Материал - латунь, PN5, DN20. Термические показатели: Tmin = -20 °C, Tmax = 60 °C</v>
      </c>
    </row>
    <row r="24" spans="1:22" ht="30" x14ac:dyDescent="0.25">
      <c r="A24" s="1" t="s">
        <v>82</v>
      </c>
      <c r="B24" s="1" t="s">
        <v>84</v>
      </c>
      <c r="C24" s="1" t="s">
        <v>83</v>
      </c>
      <c r="H24" s="1">
        <v>32</v>
      </c>
      <c r="I24" s="1"/>
      <c r="O24" s="1">
        <v>-60</v>
      </c>
      <c r="P24" s="1">
        <v>70</v>
      </c>
      <c r="Q24" s="1">
        <f>25/1000</f>
        <v>2.5000000000000001E-2</v>
      </c>
      <c r="R24" s="1">
        <f>150/1000</f>
        <v>0.15</v>
      </c>
      <c r="S24" s="1">
        <v>1</v>
      </c>
      <c r="T24" s="1">
        <v>220</v>
      </c>
      <c r="U24" s="1">
        <v>50</v>
      </c>
      <c r="V24" s="5" t="str">
        <f>SUBSTITUTE(_xludf.Concat(Таблица2[[#This Row],[Функциональный тип]:[Частота сети, Hz]]),";",",")</f>
        <v>Клапан электромагнитный газовый двухпозиционный муфтовый. Диапазон давлений - 0…0,1 МПа. DN32. Термические показатели: Tmin = -60 °C, Tmax = 70 °C. Электрические показатели: N = 0.025 кВт, I = 0.15 А, U = 1~220 В, f = 50 Гц</v>
      </c>
    </row>
    <row r="25" spans="1:22" ht="30" x14ac:dyDescent="0.25">
      <c r="A25" s="1" t="s">
        <v>82</v>
      </c>
      <c r="B25" s="1" t="s">
        <v>160</v>
      </c>
      <c r="C25" s="1" t="s">
        <v>161</v>
      </c>
      <c r="F25" s="1" t="s">
        <v>27</v>
      </c>
      <c r="H25" s="1">
        <v>100</v>
      </c>
      <c r="I25" s="1"/>
      <c r="Q25" s="1" t="s">
        <v>162</v>
      </c>
      <c r="R25" s="1" t="s">
        <v>163</v>
      </c>
      <c r="S25" s="1">
        <v>1</v>
      </c>
      <c r="T25" s="1">
        <v>230</v>
      </c>
      <c r="U25" s="1">
        <v>50</v>
      </c>
      <c r="V25" s="5" t="str">
        <f>SUBSTITUTE(_xludf.Concat(Таблица2[[#This Row],[Функциональный тип]:[Частота сети, Hz]]),";",",")</f>
        <v>Клапан электромагнитный нормально закрытый. Диапазон давления - 0…0,036 МПа. класс герметичности А, DN100. Электрические показатели: N = 0.124 кВт, I = 0.54 А, U = 1~230 В, f = 50 Гц</v>
      </c>
    </row>
    <row r="26" spans="1:22" ht="45" x14ac:dyDescent="0.25">
      <c r="A26" s="1" t="s">
        <v>3</v>
      </c>
      <c r="B26" s="1" t="s">
        <v>4</v>
      </c>
      <c r="C26" s="1" t="s">
        <v>35</v>
      </c>
      <c r="D26" s="1" t="s">
        <v>34</v>
      </c>
      <c r="E26" s="1" t="s">
        <v>39</v>
      </c>
      <c r="F26" s="1" t="s">
        <v>27</v>
      </c>
      <c r="G26" s="1">
        <v>4</v>
      </c>
      <c r="H26" s="1">
        <v>4</v>
      </c>
      <c r="I26" s="1">
        <v>80</v>
      </c>
      <c r="J26" s="1">
        <v>95</v>
      </c>
      <c r="K26" s="1">
        <v>2.89</v>
      </c>
      <c r="L26" s="1">
        <v>5.78</v>
      </c>
      <c r="M26" s="1">
        <v>40</v>
      </c>
      <c r="N26" s="1">
        <v>4</v>
      </c>
      <c r="O26" s="1">
        <v>70</v>
      </c>
      <c r="P26" s="1">
        <v>90</v>
      </c>
      <c r="Q26" s="1">
        <v>4.9000000000000004</v>
      </c>
      <c r="R26" s="1">
        <v>5</v>
      </c>
      <c r="S26" s="1">
        <v>4</v>
      </c>
      <c r="T26" s="1">
        <v>240</v>
      </c>
      <c r="U26" s="1">
        <v>12</v>
      </c>
      <c r="V26" s="1" t="str">
        <f>SUBSTITUTE(_xludf.Concat(Таблица2[[#This Row],[Функциональный тип]:[Частота сети, Hz]]),";",",")</f>
        <v>Котел стальной водогрейный. Направление потока газа: справа налево. Материал - сталь, класс герметичности А, PN4, DN4. Механические показатели: Q = 80 кВт, КПД = 95 %. Гидравлические показатели: Qmin = 2.89 м³/ч, Qmax = 5.78 м³/ч, KVS = 40 м³/ч, Hmax = 4 м. Термические показатели: Tmin = 70 °C, Tmax = 90 °C. Электрические показатели: N = 4.9 кВт, I = 5 А, U = 4~240 В, f = 12 Гц. В комплект поставки входит: программное обеспечение, прямые участки, монтажная катушка по запросу</v>
      </c>
    </row>
    <row r="27" spans="1:22" x14ac:dyDescent="0.25">
      <c r="A27" s="1" t="s">
        <v>3</v>
      </c>
      <c r="B27" s="1" t="s">
        <v>42</v>
      </c>
      <c r="E27" s="1" t="s">
        <v>39</v>
      </c>
      <c r="G27" s="1">
        <v>6</v>
      </c>
      <c r="I27" s="1">
        <v>90</v>
      </c>
      <c r="J27" s="1">
        <v>92</v>
      </c>
      <c r="V27" s="5" t="str">
        <f>SUBSTITUTE(_xludf.Concat(Таблица2[[#This Row],[Функциональный тип]:[Частота сети, Hz]]),";",",")</f>
        <v>Котел водогрейный. Материал - сталь, PN6. Механические показатели: Q = 90 кВт, КПД = 92 %</v>
      </c>
    </row>
    <row r="28" spans="1:22" ht="45" x14ac:dyDescent="0.25">
      <c r="A28" s="1" t="s">
        <v>3</v>
      </c>
      <c r="B28" s="1" t="s">
        <v>59</v>
      </c>
      <c r="D28" s="1" t="s">
        <v>77</v>
      </c>
      <c r="G28" s="1">
        <v>4</v>
      </c>
      <c r="I28" s="1">
        <v>89.5</v>
      </c>
      <c r="J28" s="1">
        <v>97.9</v>
      </c>
      <c r="L28" s="1">
        <v>3.62</v>
      </c>
      <c r="P28" s="1">
        <v>90</v>
      </c>
      <c r="S28" s="1">
        <v>1</v>
      </c>
      <c r="T28" s="1">
        <v>230</v>
      </c>
      <c r="U28" s="1">
        <v>50</v>
      </c>
      <c r="V28" s="5" t="str">
        <f>SUBSTITUTE(_xludf.Concat(Таблица2[[#This Row],[Функциональный тип]:[Частота сети, Hz]]),";",",")</f>
        <v>Котел газовый конденсационный. PN4. Механические показатели: Q = 89.5 кВт, КПД = 97.9 %. Гидравлические показатели: Qmax = 3.62 м³/ч. Термические показатели: Tmax = 90 °C. Электрические показатели: U = 1~230 В, f = 50 Гц. В комплект поставки входит: электронный насос котловой (класс А) 7608398 UPML 25-105-130 - 2 шт.</v>
      </c>
    </row>
    <row r="29" spans="1:22" ht="30" x14ac:dyDescent="0.25">
      <c r="A29" s="1" t="s">
        <v>3</v>
      </c>
      <c r="B29" s="1" t="s">
        <v>97</v>
      </c>
      <c r="C29" s="1" t="s">
        <v>99</v>
      </c>
      <c r="D29" s="1" t="s">
        <v>98</v>
      </c>
      <c r="G29" s="1">
        <v>3</v>
      </c>
      <c r="I29" s="1">
        <v>24</v>
      </c>
      <c r="J29" s="1">
        <v>91</v>
      </c>
      <c r="O29" s="1">
        <v>40</v>
      </c>
      <c r="P29" s="1">
        <v>80</v>
      </c>
      <c r="R29" s="1">
        <v>2.5</v>
      </c>
      <c r="S29" s="1">
        <v>1</v>
      </c>
      <c r="T29" s="1">
        <v>230</v>
      </c>
      <c r="U29" s="1">
        <v>50</v>
      </c>
      <c r="V29" s="5" t="str">
        <f>SUBSTITUTE(_xludf.Concat(Таблица2[[#This Row],[Функциональный тип]:[Частота сети, Hz]]),";",",")</f>
        <v>Котел газовый одноконтурный. С закрытой камерой сгорания. Тип - A1HB. PN3. Механические показатели: Q = 24 кВт, КПД = 91 %. Термические показатели: Tmin = 40 °C, Tmax = 80 °C. Электрические показатели: I = 2.5 А, U = 1~230 В, f = 50 Гц. В комплект поставки входит: датчик наружной температуры воздуха, котловая арматура</v>
      </c>
    </row>
    <row r="30" spans="1:22" x14ac:dyDescent="0.25">
      <c r="A30" s="1" t="s">
        <v>3</v>
      </c>
      <c r="B30" s="1" t="s">
        <v>42</v>
      </c>
      <c r="E30" s="1" t="s">
        <v>116</v>
      </c>
      <c r="G30" s="1">
        <v>6</v>
      </c>
      <c r="I30" s="1">
        <v>1300</v>
      </c>
      <c r="J30" s="1">
        <v>89</v>
      </c>
      <c r="P30" s="1">
        <v>110</v>
      </c>
      <c r="V30" s="5" t="str">
        <f>SUBSTITUTE(_xludf.Concat(Таблица2[[#This Row],[Функциональный тип]:[Частота сети, Hz]]),";",",")</f>
        <v>Котел водогрейный. Материал - Сталь, PN6. Механические показатели: Q = 1300 кВт, КПД = 89 %. Термические показатели: Tmax = 110 °C</v>
      </c>
    </row>
    <row r="31" spans="1:22" ht="30" x14ac:dyDescent="0.25">
      <c r="A31" s="1" t="s">
        <v>3</v>
      </c>
      <c r="B31" s="1" t="s">
        <v>168</v>
      </c>
      <c r="I31" s="1">
        <v>400</v>
      </c>
      <c r="J31" s="1">
        <v>86</v>
      </c>
      <c r="V31" s="5" t="str">
        <f>SUBSTITUTE(_xludf.Concat(Таблица2[[#This Row],[Функциональный тип]:[Частота сети, Hz]]),";",",")</f>
        <v>Котел водогрейный твердотопливный. Механические показатели: Q = 400 кВт, КПД = 86 %</v>
      </c>
    </row>
    <row r="32" spans="1:22" ht="30" x14ac:dyDescent="0.25">
      <c r="A32" s="1" t="s">
        <v>3</v>
      </c>
      <c r="B32" s="1" t="s">
        <v>174</v>
      </c>
      <c r="C32" s="1" t="s">
        <v>175</v>
      </c>
      <c r="D32" s="1" t="s">
        <v>176</v>
      </c>
      <c r="E32" s="1" t="s">
        <v>68</v>
      </c>
      <c r="G32" s="1">
        <v>4</v>
      </c>
      <c r="I32" s="1">
        <v>78</v>
      </c>
      <c r="J32" s="1">
        <v>91.9</v>
      </c>
      <c r="O32" s="1">
        <v>30</v>
      </c>
      <c r="P32" s="1">
        <v>100</v>
      </c>
      <c r="V32" s="5" t="str">
        <f>SUBSTITUTE(_xludf.Concat(Таблица2[[#This Row],[Функциональный тип]:[Частота сети, Hz]]),";",",")</f>
        <v>Котел водогрейный жидкотопливный. Для систем отопления и горячего водоснабжения. Материал - чугун, PN4. Механические показатели: Q = 78 кВт, КПД = 91.9 %. Термические показатели: Tmin = 30 °C, Tmax = 100 °C. В комплект поставки входит: автоматика Diematic 3</v>
      </c>
    </row>
    <row r="33" spans="1:22" x14ac:dyDescent="0.25">
      <c r="A33" s="1" t="s">
        <v>105</v>
      </c>
      <c r="C33" s="1" t="s">
        <v>106</v>
      </c>
      <c r="E33" s="1" t="s">
        <v>66</v>
      </c>
      <c r="G33" s="1">
        <v>16</v>
      </c>
      <c r="H33" s="1">
        <v>15</v>
      </c>
      <c r="I33" s="1"/>
      <c r="P33" s="1">
        <v>80</v>
      </c>
      <c r="V33" s="5" t="str">
        <f>SUBSTITUTE(_xludf.Concat(Таблица2[[#This Row],[Функциональный тип]:[Частота сети, Hz]]),";",",")</f>
        <v>Кран пробковый. Для манометра. Материал - латунь, PN16, DN15. Термические показатели: Tmax = 80 °C</v>
      </c>
    </row>
    <row r="34" spans="1:22" ht="45" x14ac:dyDescent="0.25">
      <c r="A34" s="1" t="s">
        <v>63</v>
      </c>
      <c r="B34" s="1" t="s">
        <v>64</v>
      </c>
      <c r="C34" s="1" t="s">
        <v>159</v>
      </c>
      <c r="E34" s="1" t="s">
        <v>39</v>
      </c>
      <c r="F34" s="1" t="s">
        <v>27</v>
      </c>
      <c r="G34" s="1">
        <v>40</v>
      </c>
      <c r="H34" s="1">
        <v>80</v>
      </c>
      <c r="I34" s="1"/>
      <c r="V34" s="5" t="str">
        <f>SUBSTITUTE(_xludf.Concat(Таблица2[[#This Row],[Функциональный тип]:[Частота сети, Hz]]),";",",")</f>
        <v>Кран шаровый полнопроходной. Теплоноситель - вода, углеводороды, природный газ, пар. Материал - сталь, класс герметичности А, PN40, DN80</v>
      </c>
    </row>
    <row r="35" spans="1:22" ht="45" x14ac:dyDescent="0.25">
      <c r="A35" s="1" t="s">
        <v>63</v>
      </c>
      <c r="B35" s="1" t="s">
        <v>64</v>
      </c>
      <c r="C35" s="1" t="s">
        <v>65</v>
      </c>
      <c r="E35" s="1" t="s">
        <v>66</v>
      </c>
      <c r="F35" s="1" t="s">
        <v>27</v>
      </c>
      <c r="G35" s="1">
        <v>10</v>
      </c>
      <c r="H35" s="1">
        <v>15</v>
      </c>
      <c r="I35" s="1"/>
      <c r="P35" s="1">
        <v>185</v>
      </c>
      <c r="V35" s="5" t="str">
        <f>SUBSTITUTE(_xludf.Concat(Таблица2[[#This Row],[Функциональный тип]:[Частота сети, Hz]]),";",",")</f>
        <v>Кран шаровый полнопроходной. Для систем отопления и водоснабжения, газа, сухого пара и жидких углеводородов. Материал - латунь, класс герметичности А, PN10, DN15. Термические показатели: Tmax = 185 °C</v>
      </c>
    </row>
    <row r="36" spans="1:22" ht="30" x14ac:dyDescent="0.25">
      <c r="A36" s="1" t="s">
        <v>40</v>
      </c>
      <c r="B36" s="1" t="s">
        <v>41</v>
      </c>
      <c r="I36" s="1"/>
      <c r="L36" s="1">
        <v>29</v>
      </c>
      <c r="N36" s="1">
        <v>9</v>
      </c>
      <c r="P36" s="1">
        <v>110</v>
      </c>
      <c r="Q36" s="1">
        <v>0.49</v>
      </c>
      <c r="R36" s="1">
        <v>2.15</v>
      </c>
      <c r="S36" s="1">
        <v>1</v>
      </c>
      <c r="T36" s="1">
        <v>230</v>
      </c>
      <c r="U36" s="1">
        <v>50</v>
      </c>
      <c r="V36" s="1" t="str">
        <f>SUBSTITUTE(_xludf.Concat(Таблица2[[#This Row],[Функциональный тип]:[Частота сети, Hz]]),";",",")</f>
        <v>Насос циркуляционный с мокрым ротором. Гидравлические показатели: Qmax = 29 м³/ч, Hmax = 9 м. Термические показатели: Tmax = 110 °C. Электрические показатели: N = 0.49 кВт, I = 2.15 А, U = 1~230 В, f = 50 Гц</v>
      </c>
    </row>
    <row r="37" spans="1:22" ht="30" x14ac:dyDescent="0.25">
      <c r="A37" s="1" t="s">
        <v>40</v>
      </c>
      <c r="B37" s="1" t="s">
        <v>41</v>
      </c>
      <c r="E37" s="1" t="s">
        <v>68</v>
      </c>
      <c r="G37" s="1">
        <v>10</v>
      </c>
      <c r="H37" s="1">
        <v>32</v>
      </c>
      <c r="I37" s="1"/>
      <c r="L37" s="1">
        <v>3.4</v>
      </c>
      <c r="N37" s="1">
        <v>6.2</v>
      </c>
      <c r="O37" s="1">
        <v>2</v>
      </c>
      <c r="P37" s="1">
        <v>110</v>
      </c>
      <c r="Q37" s="1">
        <f>34/1000</f>
        <v>3.4000000000000002E-2</v>
      </c>
      <c r="R37" s="1">
        <v>0.32</v>
      </c>
      <c r="S37" s="1">
        <v>1</v>
      </c>
      <c r="T37" s="1">
        <v>230</v>
      </c>
      <c r="U37" s="1">
        <v>50</v>
      </c>
      <c r="V37" s="5" t="str">
        <f>SUBSTITUTE(_xludf.Concat(Таблица2[[#This Row],[Функциональный тип]:[Частота сети, Hz]]),";",",")</f>
        <v>Насос циркуляционный с мокрым ротором. Материал - чугун, PN10, DN32. Гидравлические показатели: Qmax = 3.4 м³/ч, Hmax = 6.2 м. Термические показатели: Tmin = 2 °C, Tmax = 110 °C. Электрические показатели: N = 0.034 кВт, I = 0.32 А, U = 1~230 В, f = 50 Гц</v>
      </c>
    </row>
    <row r="38" spans="1:22" ht="30" x14ac:dyDescent="0.25">
      <c r="A38" s="1" t="s">
        <v>40</v>
      </c>
      <c r="B38" s="1" t="s">
        <v>41</v>
      </c>
      <c r="E38" s="1" t="s">
        <v>68</v>
      </c>
      <c r="G38" s="1">
        <v>10</v>
      </c>
      <c r="H38" s="1">
        <v>50</v>
      </c>
      <c r="I38" s="1"/>
      <c r="L38" s="1">
        <v>10.199999999999999</v>
      </c>
      <c r="N38" s="1">
        <v>8</v>
      </c>
      <c r="O38" s="1">
        <v>-10</v>
      </c>
      <c r="P38" s="1">
        <v>110</v>
      </c>
      <c r="Q38" s="1">
        <v>0.151</v>
      </c>
      <c r="R38" s="1">
        <v>1.22</v>
      </c>
      <c r="S38" s="1">
        <v>1</v>
      </c>
      <c r="T38" s="1">
        <v>230</v>
      </c>
      <c r="U38" s="1">
        <v>50</v>
      </c>
      <c r="V38" s="5" t="str">
        <f>SUBSTITUTE(_xludf.Concat(Таблица2[[#This Row],[Функциональный тип]:[Частота сети, Hz]]),";",",")</f>
        <v>Насос циркуляционный с мокрым ротором. Материал - чугун, PN10, DN50. Гидравлические показатели: Qmax = 10.2 м³/ч, Hmax = 8 м. Термические показатели: Tmin = -10 °C, Tmax = 110 °C. Электрические показатели: N = 0.151 кВт, I = 1.22 А, U = 1~230 В, f = 50 Гц</v>
      </c>
    </row>
    <row r="39" spans="1:22" ht="30" x14ac:dyDescent="0.25">
      <c r="A39" s="1" t="s">
        <v>40</v>
      </c>
      <c r="B39" s="1" t="s">
        <v>41</v>
      </c>
      <c r="C39" s="1" t="s">
        <v>87</v>
      </c>
      <c r="E39" s="1" t="s">
        <v>88</v>
      </c>
      <c r="G39" s="1">
        <v>10</v>
      </c>
      <c r="H39" s="1">
        <v>40</v>
      </c>
      <c r="I39" s="1"/>
      <c r="L39" s="1">
        <v>9.1999999999999993</v>
      </c>
      <c r="N39" s="1">
        <v>6</v>
      </c>
      <c r="O39" s="1">
        <v>-10</v>
      </c>
      <c r="P39" s="1">
        <v>110</v>
      </c>
      <c r="Q39" s="1">
        <f>84/1000</f>
        <v>8.4000000000000005E-2</v>
      </c>
      <c r="R39" s="1">
        <v>75</v>
      </c>
      <c r="S39" s="1">
        <v>1</v>
      </c>
      <c r="T39" s="1">
        <v>230</v>
      </c>
      <c r="U39" s="1">
        <v>50</v>
      </c>
      <c r="V39" s="5" t="str">
        <f>SUBSTITUTE(_xludf.Concat(Таблица2[[#This Row],[Функциональный тип]:[Частота сети, Hz]]),";",",")</f>
        <v>Насос циркуляционный с мокрым ротором. Электродвигатель на постоянных магнитах. Материал - чугун/нержавеющая сталь, PN10, DN40. Гидравлические показатели: Qmax = 9.2 м³/ч, Hmax = 6 м. Термические показатели: Tmin = -10 °C, Tmax = 110 °C. Электрические показатели: N = 0.084 кВт, I = 75 А, U = 1~230 В, f = 50 Гц</v>
      </c>
    </row>
    <row r="40" spans="1:22" ht="30" x14ac:dyDescent="0.25">
      <c r="A40" s="1" t="s">
        <v>40</v>
      </c>
      <c r="B40" s="1" t="s">
        <v>41</v>
      </c>
      <c r="G40" s="1">
        <v>10</v>
      </c>
      <c r="H40" s="1">
        <v>40</v>
      </c>
      <c r="I40" s="1"/>
      <c r="L40" s="1">
        <v>8.1999999999999993</v>
      </c>
      <c r="N40" s="1">
        <v>7</v>
      </c>
      <c r="O40" s="1">
        <v>-20</v>
      </c>
      <c r="P40" s="1">
        <v>130</v>
      </c>
      <c r="Q40" s="1">
        <v>0.2</v>
      </c>
      <c r="R40" s="1">
        <v>0.45</v>
      </c>
      <c r="S40" s="1">
        <v>3</v>
      </c>
      <c r="T40" s="1">
        <v>400</v>
      </c>
      <c r="U40" s="1">
        <v>50</v>
      </c>
      <c r="V40" s="5" t="str">
        <f>SUBSTITUTE(_xludf.Concat(Таблица2[[#This Row],[Функциональный тип]:[Частота сети, Hz]]),";",",")</f>
        <v>Насос циркуляционный с мокрым ротором. PN10, DN40. Гидравлические показатели: Qmax = 8.2 м³/ч, Hmax = 7 м. Термические показатели: Tmin = -20 °C, Tmax = 130 °C. Электрические показатели: N = 0.2 кВт, I = 0.45 А, U = 3~400 В, f = 50 Гц</v>
      </c>
    </row>
    <row r="41" spans="1:22" ht="30" x14ac:dyDescent="0.25">
      <c r="A41" s="1" t="s">
        <v>40</v>
      </c>
      <c r="B41" s="1" t="s">
        <v>41</v>
      </c>
      <c r="G41" s="1">
        <v>10</v>
      </c>
      <c r="H41" s="1">
        <v>65</v>
      </c>
      <c r="I41" s="1"/>
      <c r="L41" s="1" t="s">
        <v>126</v>
      </c>
      <c r="N41" s="1">
        <v>16</v>
      </c>
      <c r="O41" s="1">
        <v>-10</v>
      </c>
      <c r="P41" s="1">
        <v>110</v>
      </c>
      <c r="Q41" s="1">
        <v>1.45</v>
      </c>
      <c r="R41" s="1">
        <v>6.4</v>
      </c>
      <c r="S41" s="1">
        <v>1</v>
      </c>
      <c r="T41" s="1">
        <v>230</v>
      </c>
      <c r="U41" s="1">
        <v>50</v>
      </c>
      <c r="V41" s="5" t="str">
        <f>SUBSTITUTE(_xludf.Concat(Таблица2[[#This Row],[Функциональный тип]:[Частота сети, Hz]]),";",",")</f>
        <v>Насос циркуляционный с мокрым ротором. PN10, DN65. Гидравлические показатели: Qmax = 55.5 м³/ч, Hmax = 16 м. Термические показатели: Tmin = -10 °C, Tmax = 110 °C. Электрические показатели: N = 1.45 кВт, I = 6.4 А, U = 1~230 В, f = 50 Гц</v>
      </c>
    </row>
    <row r="42" spans="1:22" ht="30" x14ac:dyDescent="0.25">
      <c r="A42" s="1" t="s">
        <v>40</v>
      </c>
      <c r="B42" s="1" t="s">
        <v>41</v>
      </c>
      <c r="G42" s="1">
        <v>10</v>
      </c>
      <c r="H42" s="1">
        <v>65</v>
      </c>
      <c r="I42" s="1"/>
      <c r="L42" s="1">
        <v>44</v>
      </c>
      <c r="N42" s="1">
        <v>12</v>
      </c>
      <c r="O42" s="1">
        <v>-10</v>
      </c>
      <c r="P42" s="1">
        <v>110</v>
      </c>
      <c r="Q42" s="1">
        <v>0.95</v>
      </c>
      <c r="R42" s="1">
        <v>4.17</v>
      </c>
      <c r="S42" s="1">
        <v>1</v>
      </c>
      <c r="T42" s="1">
        <v>230</v>
      </c>
      <c r="U42" s="1">
        <v>50</v>
      </c>
      <c r="V42" s="5" t="str">
        <f>SUBSTITUTE(_xludf.Concat(Таблица2[[#This Row],[Функциональный тип]:[Частота сети, Hz]]),";",",")</f>
        <v>Насос циркуляционный с мокрым ротором. PN10, DN65. Гидравлические показатели: Qmax = 44 м³/ч, Hmax = 12 м. Термические показатели: Tmin = -10 °C, Tmax = 110 °C. Электрические показатели: N = 0.95 кВт, I = 4.17 А, U = 1~230 В, f = 50 Гц</v>
      </c>
    </row>
    <row r="43" spans="1:22" ht="30" x14ac:dyDescent="0.25">
      <c r="A43" s="1" t="s">
        <v>40</v>
      </c>
      <c r="B43" s="1" t="s">
        <v>41</v>
      </c>
      <c r="G43" s="1">
        <v>10</v>
      </c>
      <c r="H43" s="1">
        <v>40</v>
      </c>
      <c r="I43" s="1"/>
      <c r="L43" s="1" t="s">
        <v>127</v>
      </c>
      <c r="N43" s="1">
        <v>13</v>
      </c>
      <c r="O43" s="1">
        <v>-20</v>
      </c>
      <c r="P43" s="1">
        <v>110</v>
      </c>
      <c r="Q43" s="1" t="s">
        <v>128</v>
      </c>
      <c r="R43" s="1" t="s">
        <v>129</v>
      </c>
      <c r="S43" s="1">
        <v>1</v>
      </c>
      <c r="T43" s="1">
        <v>230</v>
      </c>
      <c r="U43" s="1">
        <v>50</v>
      </c>
      <c r="V43" s="5" t="str">
        <f>SUBSTITUTE(_xludf.Concat(Таблица2[[#This Row],[Функциональный тип]:[Частота сети, Hz]]),";",",")</f>
        <v>Насос циркуляционный с мокрым ротором. PN10, DN40. Гидравлические показатели: Qmax = 24.8 м³/ч, Hmax = 13 м. Термические показатели: Tmin = -20 °C, Tmax = 110 °C. Электрические показатели: N = 0.55 кВт, I = 2.4 А, U = 1~230 В, f = 50 Гц</v>
      </c>
    </row>
    <row r="44" spans="1:22" ht="30" x14ac:dyDescent="0.25">
      <c r="A44" s="1" t="s">
        <v>40</v>
      </c>
      <c r="B44" s="1" t="s">
        <v>41</v>
      </c>
      <c r="G44" s="1">
        <v>10</v>
      </c>
      <c r="H44" s="1">
        <v>40</v>
      </c>
      <c r="I44" s="1"/>
      <c r="L44" s="1">
        <v>7.2</v>
      </c>
      <c r="N44" s="1">
        <v>7</v>
      </c>
      <c r="O44" s="1">
        <v>-20</v>
      </c>
      <c r="P44" s="1">
        <v>110</v>
      </c>
      <c r="Q44" s="1">
        <v>0.09</v>
      </c>
      <c r="R44" s="1">
        <v>1</v>
      </c>
      <c r="S44" s="1">
        <v>1</v>
      </c>
      <c r="T44" s="1">
        <v>230</v>
      </c>
      <c r="U44" s="1">
        <v>50</v>
      </c>
      <c r="V44" s="5" t="str">
        <f>SUBSTITUTE(_xludf.Concat(Таблица2[[#This Row],[Функциональный тип]:[Частота сети, Hz]]),";",",")</f>
        <v>Насос циркуляционный с мокрым ротором. PN10, DN40. Гидравлические показатели: Qmax = 7.2 м³/ч, Hmax = 7 м. Термические показатели: Tmin = -20 °C, Tmax = 110 °C. Электрические показатели: N = 0.09 кВт, I = 1 А, U = 1~230 В, f = 50 Гц</v>
      </c>
    </row>
    <row r="45" spans="1:22" ht="30" x14ac:dyDescent="0.25">
      <c r="A45" s="1" t="s">
        <v>40</v>
      </c>
      <c r="B45" s="1" t="s">
        <v>41</v>
      </c>
      <c r="G45" s="1">
        <v>10</v>
      </c>
      <c r="H45" s="1">
        <v>40</v>
      </c>
      <c r="I45" s="1"/>
      <c r="L45" s="1">
        <v>3.6</v>
      </c>
      <c r="N45" s="1">
        <v>6</v>
      </c>
      <c r="O45" s="1">
        <v>-10</v>
      </c>
      <c r="P45" s="1">
        <v>95</v>
      </c>
      <c r="Q45" s="1">
        <v>0.04</v>
      </c>
      <c r="R45" s="1">
        <v>0.44</v>
      </c>
      <c r="S45" s="1">
        <v>1</v>
      </c>
      <c r="T45" s="1">
        <v>230</v>
      </c>
      <c r="U45" s="1">
        <v>50</v>
      </c>
      <c r="V45" s="5" t="str">
        <f>SUBSTITUTE(_xludf.Concat(Таблица2[[#This Row],[Функциональный тип]:[Частота сети, Hz]]),";",",")</f>
        <v>Насос циркуляционный с мокрым ротором. PN10, DN40. Гидравлические показатели: Qmax = 3.6 м³/ч, Hmax = 6 м. Термические показатели: Tmin = -10 °C, Tmax = 95 °C. Электрические показатели: N = 0.04 кВт, I = 0.44 А, U = 1~230 В, f = 50 Гц</v>
      </c>
    </row>
    <row r="46" spans="1:22" ht="30" x14ac:dyDescent="0.25">
      <c r="A46" s="1" t="s">
        <v>40</v>
      </c>
      <c r="B46" s="1" t="s">
        <v>41</v>
      </c>
      <c r="G46" s="1">
        <v>10</v>
      </c>
      <c r="H46" s="1">
        <v>40</v>
      </c>
      <c r="I46" s="1"/>
      <c r="L46" s="1">
        <v>2.7</v>
      </c>
      <c r="N46" s="1">
        <v>4</v>
      </c>
      <c r="O46" s="1">
        <v>-10</v>
      </c>
      <c r="P46" s="1">
        <v>95</v>
      </c>
      <c r="Q46" s="1">
        <v>0.02</v>
      </c>
      <c r="R46" s="1">
        <v>0.26</v>
      </c>
      <c r="S46" s="1">
        <v>1</v>
      </c>
      <c r="T46" s="1">
        <v>230</v>
      </c>
      <c r="U46" s="1">
        <v>50</v>
      </c>
      <c r="V46" s="5" t="str">
        <f>SUBSTITUTE(_xludf.Concat(Таблица2[[#This Row],[Функциональный тип]:[Частота сети, Hz]]),";",",")</f>
        <v>Насос циркуляционный с мокрым ротором. PN10, DN40. Гидравлические показатели: Qmax = 2.7 м³/ч, Hmax = 4 м. Термические показатели: Tmin = -10 °C, Tmax = 95 °C. Электрические показатели: N = 0.02 кВт, I = 0.26 А, U = 1~230 В, f = 50 Гц</v>
      </c>
    </row>
    <row r="47" spans="1:22" ht="30" x14ac:dyDescent="0.25">
      <c r="A47" s="1" t="s">
        <v>40</v>
      </c>
      <c r="B47" s="1" t="s">
        <v>41</v>
      </c>
      <c r="G47" s="1">
        <v>10</v>
      </c>
      <c r="H47" s="1">
        <v>40</v>
      </c>
      <c r="I47" s="1"/>
      <c r="L47" s="1">
        <v>12</v>
      </c>
      <c r="N47" s="1">
        <v>11</v>
      </c>
      <c r="O47" s="1">
        <v>-10</v>
      </c>
      <c r="P47" s="1">
        <v>110</v>
      </c>
      <c r="Q47" s="1">
        <v>0.3</v>
      </c>
      <c r="R47" s="1">
        <v>1.28</v>
      </c>
      <c r="S47" s="1">
        <v>1</v>
      </c>
      <c r="T47" s="1">
        <v>230</v>
      </c>
      <c r="U47" s="1">
        <v>50</v>
      </c>
      <c r="V47" s="5" t="str">
        <f>SUBSTITUTE(_xludf.Concat(Таблица2[[#This Row],[Функциональный тип]:[Частота сети, Hz]]),";",",")</f>
        <v>Насос циркуляционный с мокрым ротором. PN10, DN40. Гидравлические показатели: Qmax = 12 м³/ч, Hmax = 11 м. Термические показатели: Tmin = -10 °C, Tmax = 110 °C. Электрические показатели: N = 0.3 кВт, I = 1.28 А, U = 1~230 В, f = 50 Гц</v>
      </c>
    </row>
    <row r="48" spans="1:22" ht="30" x14ac:dyDescent="0.25">
      <c r="A48" s="1" t="s">
        <v>40</v>
      </c>
      <c r="B48" s="1" t="s">
        <v>130</v>
      </c>
      <c r="G48" s="1">
        <v>10</v>
      </c>
      <c r="H48" s="1">
        <v>65</v>
      </c>
      <c r="I48" s="1"/>
      <c r="L48" s="1">
        <v>49</v>
      </c>
      <c r="N48" s="1">
        <v>5.6</v>
      </c>
      <c r="O48" s="1">
        <v>-20</v>
      </c>
      <c r="P48" s="1">
        <v>120</v>
      </c>
      <c r="Q48" s="1">
        <v>0.55000000000000004</v>
      </c>
      <c r="R48" s="1">
        <v>1.45</v>
      </c>
      <c r="S48" s="1">
        <v>3</v>
      </c>
      <c r="T48" s="1">
        <v>400</v>
      </c>
      <c r="U48" s="1">
        <v>50</v>
      </c>
      <c r="V48" s="5" t="str">
        <f>SUBSTITUTE(_xludf.Concat(Таблица2[[#This Row],[Функциональный тип]:[Частота сети, Hz]]),";",",")</f>
        <v>Насос циркуляционный с сухим ротором. PN10, DN65. Гидравлические показатели: Qmax = 49 м³/ч, Hmax = 5.6 м. Термические показатели: Tmin = -20 °C, Tmax = 120 °C. Электрические показатели: N = 0.55 кВт, I = 1.45 А, U = 3~400 В, f = 50 Гц</v>
      </c>
    </row>
    <row r="49" spans="1:22" ht="30" x14ac:dyDescent="0.25">
      <c r="A49" s="1" t="s">
        <v>40</v>
      </c>
      <c r="B49" s="1" t="s">
        <v>130</v>
      </c>
      <c r="G49" s="1">
        <v>10</v>
      </c>
      <c r="H49" s="1">
        <v>65</v>
      </c>
      <c r="I49" s="1"/>
      <c r="L49" s="1">
        <v>92</v>
      </c>
      <c r="N49" s="1">
        <v>22</v>
      </c>
      <c r="O49" s="1">
        <v>-20</v>
      </c>
      <c r="P49" s="1">
        <v>120</v>
      </c>
      <c r="Q49" s="1">
        <v>4</v>
      </c>
      <c r="R49" s="1">
        <v>7.75</v>
      </c>
      <c r="S49" s="1">
        <v>3</v>
      </c>
      <c r="T49" s="1">
        <v>400</v>
      </c>
      <c r="U49" s="1">
        <v>50</v>
      </c>
      <c r="V49" s="5" t="str">
        <f>SUBSTITUTE(_xludf.Concat(Таблица2[[#This Row],[Функциональный тип]:[Частота сети, Hz]]),";",",")</f>
        <v>Насос циркуляционный с сухим ротором. PN10, DN65. Гидравлические показатели: Qmax = 92 м³/ч, Hmax = 22 м. Термические показатели: Tmin = -20 °C, Tmax = 120 °C. Электрические показатели: N = 4 кВт, I = 7.75 А, U = 3~400 В, f = 50 Гц</v>
      </c>
    </row>
    <row r="50" spans="1:22" ht="30" x14ac:dyDescent="0.25">
      <c r="A50" s="1" t="s">
        <v>40</v>
      </c>
      <c r="B50" s="1" t="s">
        <v>130</v>
      </c>
      <c r="G50" s="1">
        <v>16</v>
      </c>
      <c r="H50" s="1">
        <v>65</v>
      </c>
      <c r="I50" s="1"/>
      <c r="L50" s="1">
        <v>68</v>
      </c>
      <c r="N50" s="1">
        <v>26</v>
      </c>
      <c r="O50" s="1">
        <v>-20</v>
      </c>
      <c r="P50" s="1">
        <v>140</v>
      </c>
      <c r="Q50" s="1" t="s">
        <v>131</v>
      </c>
      <c r="R50" s="1" t="s">
        <v>132</v>
      </c>
      <c r="S50" s="1">
        <v>3</v>
      </c>
      <c r="T50" s="1">
        <v>400</v>
      </c>
      <c r="U50" s="1">
        <v>50</v>
      </c>
      <c r="V50" s="5" t="str">
        <f>SUBSTITUTE(_xludf.Concat(Таблица2[[#This Row],[Функциональный тип]:[Частота сети, Hz]]),";",",")</f>
        <v>Насос циркуляционный с сухим ротором. PN16, DN65. Гидравлические показатели: Qmax = 68 м³/ч, Hmax = 26 м. Термические показатели: Tmin = -20 °C, Tmax = 140 °C. Электрические показатели: N = 5.5 кВт, I = 11.1 А, U = 3~400 В, f = 50 Гц</v>
      </c>
    </row>
    <row r="51" spans="1:22" ht="30" x14ac:dyDescent="0.25">
      <c r="A51" s="1" t="s">
        <v>40</v>
      </c>
      <c r="B51" s="1" t="s">
        <v>130</v>
      </c>
      <c r="G51" s="1">
        <v>10</v>
      </c>
      <c r="H51" s="1">
        <v>80</v>
      </c>
      <c r="I51" s="1"/>
      <c r="L51" s="1">
        <v>70</v>
      </c>
      <c r="N51" s="1" t="s">
        <v>137</v>
      </c>
      <c r="O51" s="1">
        <v>-20</v>
      </c>
      <c r="P51" s="1">
        <v>120</v>
      </c>
      <c r="Q51" s="1" t="s">
        <v>138</v>
      </c>
      <c r="R51" s="1" t="s">
        <v>139</v>
      </c>
      <c r="S51" s="1">
        <v>3</v>
      </c>
      <c r="T51" s="1">
        <v>400</v>
      </c>
      <c r="U51" s="1">
        <v>50</v>
      </c>
      <c r="V51" s="5" t="str">
        <f>SUBSTITUTE(_xludf.Concat(Таблица2[[#This Row],[Функциональный тип]:[Частота сети, Hz]]),";",",")</f>
        <v>Насос циркуляционный с сухим ротором. PN10, DN80. Гидравлические показатели: Qmax = 70 м³/ч, Hmax = 5.3 м. Термические показатели: Tmin = -20 °C, Tmax = 120 °C. Электрические показатели: N = 0.75 кВт, I = 1.57 А, U = 3~400 В, f = 50 Гц</v>
      </c>
    </row>
    <row r="52" spans="1:22" ht="30" x14ac:dyDescent="0.25">
      <c r="A52" s="1" t="s">
        <v>40</v>
      </c>
      <c r="B52" s="1" t="s">
        <v>130</v>
      </c>
      <c r="G52" s="1">
        <v>10</v>
      </c>
      <c r="H52" s="1">
        <v>32</v>
      </c>
      <c r="I52" s="1"/>
      <c r="L52" s="1">
        <v>21</v>
      </c>
      <c r="N52" s="1">
        <v>20</v>
      </c>
      <c r="O52" s="1">
        <v>-20</v>
      </c>
      <c r="P52" s="1">
        <v>120</v>
      </c>
      <c r="Q52" s="1">
        <v>1.1000000000000001</v>
      </c>
      <c r="R52" s="1">
        <v>2.6</v>
      </c>
      <c r="S52" s="1">
        <v>3</v>
      </c>
      <c r="T52" s="1">
        <v>400</v>
      </c>
      <c r="U52" s="1">
        <v>50</v>
      </c>
      <c r="V52" s="5" t="str">
        <f>SUBSTITUTE(_xludf.Concat(Таблица2[[#This Row],[Функциональный тип]:[Частота сети, Hz]]),";",",")</f>
        <v>Насос циркуляционный с сухим ротором. PN10, DN32. Гидравлические показатели: Qmax = 21 м³/ч, Hmax = 20 м. Термические показатели: Tmin = -20 °C, Tmax = 120 °C. Электрические показатели: N = 1.1 кВт, I = 2.6 А, U = 3~400 В, f = 50 Гц</v>
      </c>
    </row>
    <row r="53" spans="1:22" ht="30" x14ac:dyDescent="0.25">
      <c r="A53" s="1" t="s">
        <v>40</v>
      </c>
      <c r="B53" s="1" t="s">
        <v>130</v>
      </c>
      <c r="G53" s="1">
        <v>10</v>
      </c>
      <c r="H53" s="1">
        <v>80</v>
      </c>
      <c r="I53" s="1"/>
      <c r="L53" s="1">
        <v>70</v>
      </c>
      <c r="N53" s="1">
        <v>5.4</v>
      </c>
      <c r="O53" s="1">
        <v>-20</v>
      </c>
      <c r="P53" s="1">
        <v>120</v>
      </c>
      <c r="Q53" s="1">
        <v>0.75</v>
      </c>
      <c r="R53" s="1">
        <v>1.57</v>
      </c>
      <c r="S53" s="1">
        <v>3</v>
      </c>
      <c r="T53" s="1">
        <v>400</v>
      </c>
      <c r="U53" s="1">
        <v>50</v>
      </c>
      <c r="V53" s="5" t="str">
        <f>SUBSTITUTE(_xludf.Concat(Таблица2[[#This Row],[Функциональный тип]:[Частота сети, Hz]]),";",",")</f>
        <v>Насос циркуляционный с сухим ротором. PN10, DN80. Гидравлические показатели: Qmax = 70 м³/ч, Hmax = 5.4 м. Термические показатели: Tmin = -20 °C, Tmax = 120 °C. Электрические показатели: N = 0.75 кВт, I = 1.57 А, U = 3~400 В, f = 50 Гц</v>
      </c>
    </row>
    <row r="54" spans="1:22" ht="30" x14ac:dyDescent="0.25">
      <c r="A54" s="1" t="s">
        <v>40</v>
      </c>
      <c r="B54" s="1" t="s">
        <v>130</v>
      </c>
      <c r="G54" s="1">
        <v>10</v>
      </c>
      <c r="H54" s="1">
        <v>65</v>
      </c>
      <c r="I54" s="1"/>
      <c r="L54" s="1">
        <v>91</v>
      </c>
      <c r="N54" s="1">
        <v>19</v>
      </c>
      <c r="O54" s="1">
        <v>-20</v>
      </c>
      <c r="P54" s="1">
        <v>120</v>
      </c>
      <c r="Q54" s="1">
        <v>4</v>
      </c>
      <c r="R54" s="1">
        <v>7.75</v>
      </c>
      <c r="S54" s="1">
        <v>3</v>
      </c>
      <c r="T54" s="1">
        <v>400</v>
      </c>
      <c r="U54" s="1">
        <v>50</v>
      </c>
      <c r="V54" s="5" t="str">
        <f>SUBSTITUTE(_xludf.Concat(Таблица2[[#This Row],[Функциональный тип]:[Частота сети, Hz]]),";",",")</f>
        <v>Насос циркуляционный с сухим ротором. PN10, DN65. Гидравлические показатели: Qmax = 91 м³/ч, Hmax = 19 м. Термические показатели: Tmin = -20 °C, Tmax = 120 °C. Электрические показатели: N = 4 кВт, I = 7.75 А, U = 3~400 В, f = 50 Гц</v>
      </c>
    </row>
    <row r="55" spans="1:22" ht="30" x14ac:dyDescent="0.25">
      <c r="A55" s="1" t="s">
        <v>40</v>
      </c>
      <c r="B55" s="1" t="s">
        <v>130</v>
      </c>
      <c r="G55" s="1">
        <v>10</v>
      </c>
      <c r="H55" s="1">
        <v>40</v>
      </c>
      <c r="I55" s="1"/>
      <c r="L55" s="1">
        <v>12</v>
      </c>
      <c r="N55" s="1">
        <v>10</v>
      </c>
      <c r="O55" s="1">
        <v>-10</v>
      </c>
      <c r="P55" s="1">
        <v>110</v>
      </c>
      <c r="Q55" s="1">
        <v>0.28000000000000003</v>
      </c>
      <c r="R55" s="1">
        <v>1.2</v>
      </c>
      <c r="S55" s="1">
        <v>1</v>
      </c>
      <c r="T55" s="1">
        <v>230</v>
      </c>
      <c r="U55" s="1">
        <v>50</v>
      </c>
      <c r="V55" s="5" t="str">
        <f>SUBSTITUTE(_xludf.Concat(Таблица2[[#This Row],[Функциональный тип]:[Частота сети, Hz]]),";",",")</f>
        <v>Насос циркуляционный с сухим ротором. PN10, DN40. Гидравлические показатели: Qmax = 12 м³/ч, Hmax = 10 м. Термические показатели: Tmin = -10 °C, Tmax = 110 °C. Электрические показатели: N = 0.28 кВт, I = 1.2 А, U = 1~230 В, f = 50 Гц</v>
      </c>
    </row>
    <row r="56" spans="1:22" ht="30" x14ac:dyDescent="0.25">
      <c r="A56" s="1" t="s">
        <v>40</v>
      </c>
      <c r="B56" s="1" t="s">
        <v>130</v>
      </c>
      <c r="G56" s="1">
        <v>10</v>
      </c>
      <c r="H56" s="1">
        <v>25</v>
      </c>
      <c r="I56" s="1"/>
      <c r="L56" s="1">
        <v>4.3</v>
      </c>
      <c r="N56" s="1">
        <v>7</v>
      </c>
      <c r="O56" s="1">
        <v>2</v>
      </c>
      <c r="P56" s="1">
        <v>95</v>
      </c>
      <c r="Q56" s="1">
        <v>0.14000000000000001</v>
      </c>
      <c r="R56" s="1">
        <v>0.62</v>
      </c>
      <c r="S56" s="1">
        <v>1</v>
      </c>
      <c r="T56" s="1">
        <v>230</v>
      </c>
      <c r="U56" s="1">
        <v>50</v>
      </c>
      <c r="V56" s="5" t="str">
        <f>SUBSTITUTE(_xludf.Concat(Таблица2[[#This Row],[Функциональный тип]:[Частота сети, Hz]]),";",",")</f>
        <v>Насос циркуляционный с сухим ротором. PN10, DN25. Гидравлические показатели: Qmax = 4.3 м³/ч, Hmax = 7 м. Термические показатели: Tmin = 2 °C, Tmax = 95 °C. Электрические показатели: N = 0.14 кВт, I = 0.62 А, U = 1~230 В, f = 50 Гц</v>
      </c>
    </row>
    <row r="57" spans="1:22" ht="45" x14ac:dyDescent="0.25">
      <c r="A57" s="1" t="s">
        <v>40</v>
      </c>
      <c r="B57" s="1" t="s">
        <v>189</v>
      </c>
      <c r="G57" s="1">
        <v>10</v>
      </c>
      <c r="H57" s="1" t="s">
        <v>190</v>
      </c>
      <c r="I57" s="1"/>
      <c r="L57" s="1">
        <v>8</v>
      </c>
      <c r="N57" s="1">
        <v>53</v>
      </c>
      <c r="O57" s="1">
        <v>-15</v>
      </c>
      <c r="P57" s="1">
        <v>90</v>
      </c>
      <c r="Q57" s="1">
        <v>1.1000000000000001</v>
      </c>
      <c r="R57" s="1">
        <v>2.8</v>
      </c>
      <c r="S57" s="1">
        <v>3</v>
      </c>
      <c r="T57" s="1">
        <v>400</v>
      </c>
      <c r="U57" s="1">
        <v>50</v>
      </c>
      <c r="V57" s="5" t="str">
        <f>SUBSTITUTE(_xludf.Concat(Таблица2[[#This Row],[Функциональный тип]:[Частота сети, Hz]]),";",",")</f>
        <v>Насос нормальновсасывающий многосекционный центробежный. PN10, DN25/32. Гидравлические показатели: Qmax = 8 м³/ч, Hmax = 53 м. Термические показатели: Tmin = -15 °C, Tmax = 90 °C. Электрические показатели: N = 1.1 кВт, I = 2.8 А, U = 3~400 В, f = 50 Гц</v>
      </c>
    </row>
    <row r="58" spans="1:22" ht="45" x14ac:dyDescent="0.25">
      <c r="A58" s="1" t="s">
        <v>40</v>
      </c>
      <c r="B58" s="1" t="s">
        <v>189</v>
      </c>
      <c r="G58" s="1">
        <v>10</v>
      </c>
      <c r="H58" s="1">
        <v>25</v>
      </c>
      <c r="I58" s="1"/>
      <c r="L58" s="1">
        <v>6</v>
      </c>
      <c r="N58" s="1">
        <v>45</v>
      </c>
      <c r="O58" s="1">
        <v>-15</v>
      </c>
      <c r="P58" s="1">
        <v>110</v>
      </c>
      <c r="Q58" s="1">
        <v>0.75</v>
      </c>
      <c r="R58" s="1">
        <v>3.2</v>
      </c>
      <c r="S58" s="1">
        <v>3</v>
      </c>
      <c r="T58" s="1">
        <v>400</v>
      </c>
      <c r="U58" s="1">
        <v>50</v>
      </c>
      <c r="V58" s="5" t="str">
        <f>SUBSTITUTE(_xludf.Concat(Таблица2[[#This Row],[Функциональный тип]:[Частота сети, Hz]]),";",",")</f>
        <v>Насос нормальновсасывающий многосекционный центробежный. PN10, DN25. Гидравлические показатели: Qmax = 6 м³/ч, Hmax = 45 м. Термические показатели: Tmin = -15 °C, Tmax = 110 °C. Электрические показатели: N = 0.75 кВт, I = 3.2 А, U = 3~400 В, f = 50 Гц</v>
      </c>
    </row>
    <row r="59" spans="1:22" ht="30" x14ac:dyDescent="0.25">
      <c r="A59" s="1" t="s">
        <v>109</v>
      </c>
      <c r="B59" s="1" t="s">
        <v>110</v>
      </c>
      <c r="C59" s="1" t="s">
        <v>111</v>
      </c>
      <c r="I59" s="1">
        <v>270</v>
      </c>
      <c r="P59" s="1">
        <v>250</v>
      </c>
      <c r="Q59" s="1">
        <v>50</v>
      </c>
      <c r="R59" s="1">
        <v>131.68</v>
      </c>
      <c r="S59" s="1">
        <v>3</v>
      </c>
      <c r="T59" s="1">
        <v>380</v>
      </c>
      <c r="U59" s="1">
        <v>50</v>
      </c>
      <c r="V59" s="5" t="str">
        <f>SUBSTITUTE(_xludf.Concat(Таблица2[[#This Row],[Функциональный тип]:[Частота сети, Hz]]),";",",")</f>
        <v>Печь газовая. Проходного типа для сушки пасты ПВХ на крышках. Механические показатели: Q = 270 кВт. Термические показатели: Tmax = 250 °C. Электрические показатели: N = 50 кВт, I = 131.68 А, U = 3~380 В, f = 50 Гц</v>
      </c>
    </row>
    <row r="60" spans="1:22" ht="45" x14ac:dyDescent="0.25">
      <c r="A60" s="1" t="s">
        <v>52</v>
      </c>
      <c r="B60" s="1" t="s">
        <v>53</v>
      </c>
      <c r="E60" s="1" t="s">
        <v>54</v>
      </c>
      <c r="G60" s="1">
        <v>16</v>
      </c>
      <c r="H60" s="1">
        <v>50</v>
      </c>
      <c r="I60" s="1"/>
      <c r="V60" s="5" t="str">
        <f>SUBSTITUTE(_xludf.Concat(Таблица2[[#This Row],[Функциональный тип]:[Частота сети, Hz]]),";",",")</f>
        <v>Прокладка плоская эластичная. Материал - паронит маслобензостойкий, PN16, DN50</v>
      </c>
    </row>
    <row r="61" spans="1:22" x14ac:dyDescent="0.25">
      <c r="A61" s="1" t="s">
        <v>179</v>
      </c>
      <c r="C61" s="1" t="s">
        <v>180</v>
      </c>
      <c r="H61" s="1">
        <v>40</v>
      </c>
      <c r="I61" s="1"/>
      <c r="L61" s="1">
        <v>3.8</v>
      </c>
      <c r="V61" s="5" t="str">
        <f>SUBSTITUTE(_xludf.Concat(Таблица2[[#This Row],[Функциональный тип]:[Частота сети, Hz]]),";",",")</f>
        <v>Разделитель гидравлический. Диаметр 125 мм, высота 500 мм. DN40. Гидравлические показатели: Qmax = 3.8 м³/ч</v>
      </c>
    </row>
    <row r="62" spans="1:22" ht="45" x14ac:dyDescent="0.25">
      <c r="A62" s="1" t="s">
        <v>73</v>
      </c>
      <c r="B62" s="1" t="s">
        <v>74</v>
      </c>
      <c r="C62" s="1" t="s">
        <v>100</v>
      </c>
      <c r="G62" s="1">
        <v>6</v>
      </c>
      <c r="H62" s="1">
        <v>20</v>
      </c>
      <c r="I62" s="1"/>
      <c r="P62" s="1">
        <v>120</v>
      </c>
      <c r="V62" s="5" t="str">
        <f>SUBSTITUTE(_xludf.Concat(Таблица2[[#This Row],[Функциональный тип]:[Частота сети, Hz]]),";",",")</f>
        <v>Расширительный бак мембранный. Для систем отопления. Номинальный объем - 12 л. Настенный. PN6, DN20. Термические показатели: Tmax = 120 °C</v>
      </c>
    </row>
    <row r="63" spans="1:22" ht="45" x14ac:dyDescent="0.25">
      <c r="A63" s="1" t="s">
        <v>73</v>
      </c>
      <c r="B63" s="1" t="s">
        <v>74</v>
      </c>
      <c r="C63" s="1" t="s">
        <v>76</v>
      </c>
      <c r="E63" s="1" t="s">
        <v>39</v>
      </c>
      <c r="G63" s="1">
        <v>6</v>
      </c>
      <c r="H63" s="1">
        <v>25</v>
      </c>
      <c r="I63" s="1"/>
      <c r="P63" s="1">
        <v>120</v>
      </c>
      <c r="V63" s="5" t="str">
        <f>SUBSTITUTE(_xludf.Concat(Таблица2[[#This Row],[Функциональный тип]:[Частота сети, Hz]]),";",",")</f>
        <v>Расширительный бак мембранный. Для систем отопления. Номинальный объем - 80 л. Напольный. Материал - сталь, PN6, DN25. Термические показатели: Tmax = 120 °C</v>
      </c>
    </row>
    <row r="64" spans="1:22" ht="45" x14ac:dyDescent="0.25">
      <c r="A64" s="1" t="s">
        <v>73</v>
      </c>
      <c r="B64" s="1" t="s">
        <v>74</v>
      </c>
      <c r="C64" s="1" t="s">
        <v>191</v>
      </c>
      <c r="G64" s="1">
        <v>10</v>
      </c>
      <c r="H64" s="1">
        <v>40</v>
      </c>
      <c r="I64" s="1"/>
      <c r="O64" s="1">
        <v>1</v>
      </c>
      <c r="P64" s="1">
        <v>70</v>
      </c>
      <c r="V64" s="5" t="str">
        <f>SUBSTITUTE(_xludf.Concat(Таблица2[[#This Row],[Функциональный тип]:[Частота сети, Hz]]),";",",")</f>
        <v>Расширительный бак мембранный. Для систем холодного водоснабжения. Номинальный объем - 100 л. Напольный. PN10, DN40. Термические показатели: Tmin = 1 °C, Tmax = 70 °C</v>
      </c>
    </row>
    <row r="65" spans="1:22" ht="45" x14ac:dyDescent="0.25">
      <c r="A65" s="1" t="s">
        <v>73</v>
      </c>
      <c r="B65" s="1" t="s">
        <v>74</v>
      </c>
      <c r="C65" s="1" t="s">
        <v>75</v>
      </c>
      <c r="E65" s="1" t="s">
        <v>39</v>
      </c>
      <c r="G65" s="1">
        <v>10</v>
      </c>
      <c r="H65" s="1">
        <v>20</v>
      </c>
      <c r="I65" s="1"/>
      <c r="O65" s="1">
        <v>-10</v>
      </c>
      <c r="P65" s="1">
        <v>70</v>
      </c>
      <c r="V65" s="5" t="str">
        <f>SUBSTITUTE(_xludf.Concat(Таблица2[[#This Row],[Функциональный тип]:[Частота сети, Hz]]),";",",")</f>
        <v>Расширительный бак мембранный. Для систем водоснабжения. Номинальный объем - 18 л. Настенный. Материал - сталь, PN10, DN20. Термические показатели: Tmin = -10 °C, Tmax = 70 °C</v>
      </c>
    </row>
    <row r="66" spans="1:22" ht="45" x14ac:dyDescent="0.25">
      <c r="A66" s="1" t="s">
        <v>73</v>
      </c>
      <c r="B66" s="1" t="s">
        <v>74</v>
      </c>
      <c r="C66" s="1" t="s">
        <v>181</v>
      </c>
      <c r="E66" s="1" t="s">
        <v>39</v>
      </c>
      <c r="G66" s="1">
        <v>6</v>
      </c>
      <c r="H66" s="1">
        <v>20</v>
      </c>
      <c r="I66" s="1"/>
      <c r="P66" s="1">
        <v>120</v>
      </c>
      <c r="V66" s="5" t="str">
        <f>SUBSTITUTE(_xludf.Concat(Таблица2[[#This Row],[Функциональный тип]:[Частота сети, Hz]]),";",",")</f>
        <v>Расширительный бак мембранный. Для систем отопления. Номинальный объем - 35 л. Напольный. Материал - сталь, PN6, DN20. Термические показатели: Tmax = 120 °C</v>
      </c>
    </row>
    <row r="67" spans="1:22" ht="45" x14ac:dyDescent="0.25">
      <c r="A67" s="1" t="s">
        <v>73</v>
      </c>
      <c r="B67" s="1" t="s">
        <v>74</v>
      </c>
      <c r="C67" s="1" t="s">
        <v>150</v>
      </c>
      <c r="E67" s="1" t="s">
        <v>39</v>
      </c>
      <c r="G67" s="1">
        <v>6</v>
      </c>
      <c r="H67" s="1">
        <v>40</v>
      </c>
      <c r="I67" s="1"/>
      <c r="P67" s="1">
        <v>120</v>
      </c>
      <c r="V67" s="5" t="str">
        <f>SUBSTITUTE(_xludf.Concat(Таблица2[[#This Row],[Функциональный тип]:[Частота сети, Hz]]),";",",")</f>
        <v>Расширительный бак мембранный. Для систем отопления. Номинальный объем - 1200 л. Напольный. Материал - сталь, PN6, DN40. Термические показатели: Tmax = 120 °C</v>
      </c>
    </row>
    <row r="68" spans="1:22" x14ac:dyDescent="0.25">
      <c r="A68" s="1" t="s">
        <v>169</v>
      </c>
      <c r="C68" s="1" t="s">
        <v>170</v>
      </c>
      <c r="H68" s="1" t="s">
        <v>171</v>
      </c>
      <c r="I68" s="1"/>
      <c r="L68" s="1">
        <v>25</v>
      </c>
      <c r="O68" s="1">
        <v>-40</v>
      </c>
      <c r="P68" s="1">
        <v>60</v>
      </c>
      <c r="V68" s="5" t="str">
        <f>SUBSTITUTE(_xludf.Concat(Таблица2[[#This Row],[Функциональный тип]:[Частота сети, Hz]]),";",",")</f>
        <v>Регулятор давления газа. Рвх = 0.6 Mпa, Рвых =2 кПa. DN20/32. Гидравлические показатели: Qmax = 25 м³/ч. Термические показатели: Tmin = -40 °C, Tmax = 60 °C</v>
      </c>
    </row>
    <row r="69" spans="1:22" ht="45" x14ac:dyDescent="0.25">
      <c r="A69" s="1" t="s">
        <v>67</v>
      </c>
      <c r="B69" s="1" t="s">
        <v>70</v>
      </c>
      <c r="C69" s="1" t="s">
        <v>69</v>
      </c>
      <c r="E69" s="1" t="s">
        <v>68</v>
      </c>
      <c r="H69" s="1">
        <v>15</v>
      </c>
      <c r="I69" s="1"/>
      <c r="V69" s="5" t="str">
        <f>SUBSTITUTE(_xludf.Concat(Таблица2[[#This Row],[Функциональный тип]:[Частота сети, Hz]]),";",",")</f>
        <v>Соединение разборное «американка». Для систем трубопроводов воды, пара и неагрессивных жидкостей с резьбой ВР-НР. Материал - чугун, DN15</v>
      </c>
    </row>
    <row r="70" spans="1:22" x14ac:dyDescent="0.25">
      <c r="A70" s="1" t="s">
        <v>156</v>
      </c>
      <c r="B70" s="1" t="s">
        <v>157</v>
      </c>
      <c r="H70" s="1">
        <v>15</v>
      </c>
      <c r="I70" s="1"/>
      <c r="K70" s="1" t="s">
        <v>158</v>
      </c>
      <c r="L70" s="1">
        <v>2</v>
      </c>
      <c r="V70" s="5" t="str">
        <f>SUBSTITUTE(_xludf.Concat(Таблица2[[#This Row],[Функциональный тип]:[Частота сети, Hz]]),";",",")</f>
        <v>Счетчик воды крыльчатый. DN15. Гидравлические показатели: Qmin = 0.03 м³/ч, Qmax = 2 м³/ч</v>
      </c>
    </row>
    <row r="71" spans="1:22" ht="90" x14ac:dyDescent="0.25">
      <c r="A71" s="1" t="s">
        <v>78</v>
      </c>
      <c r="B71" s="1" t="s">
        <v>79</v>
      </c>
      <c r="C71" s="1" t="s">
        <v>80</v>
      </c>
      <c r="D71" s="1" t="s">
        <v>81</v>
      </c>
      <c r="H71" s="1">
        <v>50</v>
      </c>
      <c r="I71" s="1"/>
      <c r="K71" s="1">
        <v>0.3</v>
      </c>
      <c r="L71" s="1">
        <v>42.1</v>
      </c>
      <c r="V71" s="5" t="str">
        <f>SUBSTITUTE(_xludf.Concat(Таблица2[[#This Row],[Функциональный тип]:[Частота сети, Hz]]),";",",")</f>
        <v>Счетчик газовый ультразвуковой. С приведением измеренного объема газа к стандартным условиям по температуре и давлению и возможностью подключения к системе INDEL. DN50. Гидравлические показатели: Qmin = 0.3 м³/ч, Qmax = 42.1 м³/ч. В комплект поставки входит: патрубок (до счетчика) Труба 57х3,5 ГОСТ 8732-78 Ст 20 ГОСТ 1050-88 - 1 шт, патрубок (после счетчика) Труба 57х3,5 ГОСТ 8732-78 Ст 20 ГОСТ 1050-88 - 1 шт</v>
      </c>
    </row>
    <row r="72" spans="1:22" x14ac:dyDescent="0.25">
      <c r="A72" s="1" t="s">
        <v>43</v>
      </c>
      <c r="B72" s="1" t="s">
        <v>44</v>
      </c>
      <c r="H72" s="1">
        <v>20</v>
      </c>
      <c r="I72" s="1"/>
      <c r="K72" s="1">
        <v>0.03</v>
      </c>
      <c r="L72" s="1">
        <v>2</v>
      </c>
      <c r="P72" s="1">
        <v>30</v>
      </c>
      <c r="V72" s="5" t="str">
        <f>SUBSTITUTE(_xludf.Concat(Таблица2[[#This Row],[Функциональный тип]:[Частота сети, Hz]]),";",",")</f>
        <v>Счетчик холодной воды крыльчатый одноструйный. DN20. Гидравлические показатели: Qmin = 0.03 м³/ч, Qmax = 2 м³/ч. Термические показатели: Tmax = 30 °C</v>
      </c>
    </row>
    <row r="73" spans="1:22" ht="30" x14ac:dyDescent="0.25">
      <c r="A73" s="1" t="s">
        <v>133</v>
      </c>
      <c r="B73" s="1" t="s">
        <v>134</v>
      </c>
      <c r="C73" s="1" t="s">
        <v>135</v>
      </c>
      <c r="H73" s="1">
        <v>50</v>
      </c>
      <c r="I73" s="1" t="s">
        <v>136</v>
      </c>
      <c r="V73" s="5" t="str">
        <f>SUBSTITUTE(_xludf.Concat(Таблица2[[#This Row],[Функциональный тип]:[Частота сети, Hz]]),";",",")</f>
        <v>Теплообменник пластинчатый. Пластин - 39 шт. Число ходов - 1. . DN50. Механические показатели: Q = 501.5 кВт</v>
      </c>
    </row>
    <row r="74" spans="1:22" x14ac:dyDescent="0.25">
      <c r="A74" s="1" t="s">
        <v>58</v>
      </c>
      <c r="G74" s="1">
        <v>6</v>
      </c>
      <c r="H74" s="1">
        <v>15</v>
      </c>
      <c r="I74" s="1"/>
      <c r="P74" s="1">
        <v>120</v>
      </c>
      <c r="V74" s="5" t="str">
        <f>SUBSTITUTE(_xludf.Concat(Таблица2[[#This Row],[Функциональный тип]:[Частота сети, Hz]]),";",",")</f>
        <v>Термоманометр. PN6, DN15. Термические показатели: Tmax = 120 °C</v>
      </c>
    </row>
    <row r="75" spans="1:22" ht="105" x14ac:dyDescent="0.25">
      <c r="A75" s="1" t="s">
        <v>112</v>
      </c>
      <c r="B75" s="1" t="s">
        <v>113</v>
      </c>
      <c r="C75" s="1" t="s">
        <v>115</v>
      </c>
      <c r="E75" s="1" t="s">
        <v>114</v>
      </c>
      <c r="I75" s="1"/>
      <c r="O75" s="1">
        <v>0</v>
      </c>
      <c r="P75" s="1">
        <v>120</v>
      </c>
      <c r="V75" s="5" t="str">
        <f>SUBSTITUTE(_xludf.Concat(Таблица2[[#This Row],[Функциональный тип]:[Частота сети, Hz]]),";",",")</f>
        <v>Термометр осевой биметалический. Для измерения температуры жидкостей, пара и газов в отопительных и санитарных установках, в системах кондиционирования и вентиляции. Класс точности 1.5. Длина штока - 46 мм. Материал - нержавеющая сталь/коррозионностойкая сталь. Термические показатели: Tmin = 0 °C, Tmax = 120 °C</v>
      </c>
    </row>
    <row r="76" spans="1:22" x14ac:dyDescent="0.25">
      <c r="A76" s="1" t="s">
        <v>71</v>
      </c>
      <c r="C76" s="1" t="s">
        <v>72</v>
      </c>
      <c r="G76" s="1">
        <v>7</v>
      </c>
      <c r="H76" s="1">
        <v>20</v>
      </c>
      <c r="I76" s="1"/>
      <c r="L76" s="1">
        <v>1</v>
      </c>
      <c r="P76" s="1">
        <v>40</v>
      </c>
      <c r="V76" s="5" t="str">
        <f>SUBSTITUTE(_xludf.Concat(Таблица2[[#This Row],[Функциональный тип]:[Частота сети, Hz]]),";",",")</f>
        <v>Устройство водоочистное. Объем смолы - 25 л. PN7, DN20. Гидравлические показатели: Qmax = 1 м³/ч. Термические показатели: Tmax = 40 °C</v>
      </c>
    </row>
    <row r="77" spans="1:22" ht="90" x14ac:dyDescent="0.25">
      <c r="A77" s="1" t="s">
        <v>71</v>
      </c>
      <c r="C77" s="1" t="s">
        <v>148</v>
      </c>
      <c r="H77" s="1">
        <v>25</v>
      </c>
      <c r="I77" s="1"/>
      <c r="L77" s="1">
        <v>1.25</v>
      </c>
      <c r="P77" s="1">
        <v>30</v>
      </c>
      <c r="S77" s="1">
        <v>1</v>
      </c>
      <c r="T77" s="1">
        <v>230</v>
      </c>
      <c r="U77" s="1">
        <v>50</v>
      </c>
      <c r="V77" s="5" t="str">
        <f>SUBSTITUTE(_xludf.Concat(Таблица2[[#This Row],[Функциональный тип]:[Частота сети, Hz]]),";",",")</f>
        <v>Устройство водоочистное. Для удаление железа и солей жесткости. Потребление натрия хлористого на 1 регенерацию - 6,25 кг. Потребление воды на регенерацию – 0,2-0,3 м³. DN25. Гидравлические показатели: Qmax = 1.25 м³/ч. Термические показатели: Tmax = 30 °C. Электрические показатели: U = 1~230 В, f = 50 Гц</v>
      </c>
    </row>
    <row r="78" spans="1:22" ht="90" x14ac:dyDescent="0.25">
      <c r="A78" s="1" t="s">
        <v>71</v>
      </c>
      <c r="C78" s="1" t="s">
        <v>149</v>
      </c>
      <c r="H78" s="1">
        <v>25</v>
      </c>
      <c r="I78" s="1"/>
      <c r="L78" s="1">
        <v>0.7</v>
      </c>
      <c r="P78" s="1">
        <v>30</v>
      </c>
      <c r="S78" s="1">
        <v>1</v>
      </c>
      <c r="T78" s="1">
        <v>230</v>
      </c>
      <c r="U78" s="1">
        <v>50</v>
      </c>
      <c r="V78" s="5" t="str">
        <f>SUBSTITUTE(_xludf.Concat(Таблица2[[#This Row],[Функциональный тип]:[Частота сети, Hz]]),";",",")</f>
        <v>Устройство водоочистное. Установка умягчения. Объем ионообменной смолы – 12,5 л. Потребление натрия хлористого на 1 регенерацию - 1,2кг. Потребление воды на регенерацию - 60 л. DN25. Гидравлические показатели: Qmax = 0.7 м³/ч. Термические показатели: Tmax = 30 °C. Электрические показатели: U = 1~230 В, f = 50 Гц</v>
      </c>
    </row>
    <row r="79" spans="1:22" ht="75" x14ac:dyDescent="0.25">
      <c r="A79" s="1" t="s">
        <v>107</v>
      </c>
      <c r="C79" s="1" t="s">
        <v>108</v>
      </c>
      <c r="E79" s="1" t="s">
        <v>39</v>
      </c>
      <c r="I79" s="1"/>
      <c r="V79" s="5" t="str">
        <f>SUBSTITUTE(_xludf.Concat(Таблица2[[#This Row],[Функциональный тип]:[Частота сети, Hz]]),";",",")</f>
        <v>Устройство отборное. Для охлаждения измеряемой среды, поступающей в рабочие полости манометра. Теплоноситель - вода, пар. Присоединение М20х1,5. Материал - сталь</v>
      </c>
    </row>
    <row r="80" spans="1:22" x14ac:dyDescent="0.25">
      <c r="A80" s="1" t="s">
        <v>92</v>
      </c>
      <c r="B80" s="1" t="s">
        <v>93</v>
      </c>
      <c r="C80" s="1" t="s">
        <v>94</v>
      </c>
      <c r="E80" s="1" t="s">
        <v>66</v>
      </c>
      <c r="G80" s="1">
        <v>16</v>
      </c>
      <c r="H80" s="1">
        <v>15</v>
      </c>
      <c r="I80" s="1"/>
      <c r="O80" s="1">
        <v>-20</v>
      </c>
      <c r="P80" s="1">
        <v>100</v>
      </c>
      <c r="V80" s="5" t="str">
        <f>SUBSTITUTE(_xludf.Concat(Таблица2[[#This Row],[Функциональный тип]:[Частота сети, Hz]]),";",",")</f>
        <v>Фильтр сетчатый муфтовый. Для всех типов сред. Материал - латунь, PN16, DN15. Термические показатели: Tmin = -20 °C, Tmax = 100 °C</v>
      </c>
    </row>
    <row r="81" spans="1:22" ht="45" x14ac:dyDescent="0.25">
      <c r="A81" s="1" t="s">
        <v>92</v>
      </c>
      <c r="C81" s="1" t="s">
        <v>147</v>
      </c>
      <c r="G81" s="1">
        <v>10</v>
      </c>
      <c r="H81" s="1">
        <v>25</v>
      </c>
      <c r="I81" s="1"/>
      <c r="P81" s="1">
        <v>50</v>
      </c>
      <c r="V81" s="5" t="str">
        <f>SUBSTITUTE(_xludf.Concat(Таблица2[[#This Row],[Функциональный тип]:[Частота сети, Hz]]),";",",")</f>
        <v>Фильтр. Для удаления механических примесей с центробежной префильтрацией. PN10, DN25. Термические показатели: Tmax = 50 °C</v>
      </c>
    </row>
    <row r="82" spans="1:22" x14ac:dyDescent="0.25">
      <c r="A82" s="1" t="s">
        <v>48</v>
      </c>
      <c r="B82" s="1" t="s">
        <v>49</v>
      </c>
      <c r="C82" s="1" t="s">
        <v>51</v>
      </c>
      <c r="E82" s="1" t="s">
        <v>50</v>
      </c>
      <c r="G82" s="1">
        <v>16</v>
      </c>
      <c r="H82" s="1">
        <v>50</v>
      </c>
      <c r="I82" s="1"/>
      <c r="V82" s="5" t="str">
        <f>SUBSTITUTE(_xludf.Concat(Таблица2[[#This Row],[Функциональный тип]:[Частота сети, Hz]]),";",",")</f>
        <v>Фланец плоский приварной. С соединительным выступом. Материал - сталь 25, PN16, DN50</v>
      </c>
    </row>
    <row r="83" spans="1:22" x14ac:dyDescent="0.25">
      <c r="A83" s="1" t="s">
        <v>55</v>
      </c>
      <c r="B83" s="1" t="s">
        <v>57</v>
      </c>
      <c r="C83" s="1" t="s">
        <v>56</v>
      </c>
      <c r="H83" s="1">
        <v>25</v>
      </c>
      <c r="I83" s="1"/>
      <c r="V83" s="5" t="str">
        <f>SUBSTITUTE(_xludf.Concat(Таблица2[[#This Row],[Функциональный тип]:[Частота сети, Hz]]),";",",")</f>
        <v>Хомут сантехнитечский. Для крепления труб. DN25</v>
      </c>
    </row>
    <row r="84" spans="1:22" ht="30" x14ac:dyDescent="0.25">
      <c r="A84" s="1" t="s">
        <v>151</v>
      </c>
      <c r="B84" s="1" t="s">
        <v>152</v>
      </c>
      <c r="C84" s="1" t="s">
        <v>153</v>
      </c>
      <c r="I84" s="1"/>
      <c r="P84" s="1">
        <v>200</v>
      </c>
      <c r="Q84" s="1">
        <v>23</v>
      </c>
      <c r="R84" s="1" t="s">
        <v>144</v>
      </c>
      <c r="S84" s="1">
        <v>1</v>
      </c>
      <c r="T84" s="1">
        <v>230</v>
      </c>
      <c r="U84" s="1">
        <v>50</v>
      </c>
      <c r="V84" s="5" t="str">
        <f>SUBSTITUTE(_xludf.Concat(Таблица2[[#This Row],[Функциональный тип]:[Частота сети, Hz]]),";",",")</f>
        <v>Электропривод редукторный. Ход штока - 40 мм. Скорость - 3 с/мм. Термические показатели: Tmax = 200 °C. Электрические показатели: N = 23 кВт, I = 0.1 А, U = 1~230 В, f = 50 Гц</v>
      </c>
    </row>
  </sheetData>
  <mergeCells count="6">
    <mergeCell ref="O1:P1"/>
    <mergeCell ref="Q1:U1"/>
    <mergeCell ref="I1:J1"/>
    <mergeCell ref="K1:N1"/>
    <mergeCell ref="A1:D1"/>
    <mergeCell ref="E1:H1"/>
  </mergeCells>
  <phoneticPr fontId="2" type="noConversion"/>
  <conditionalFormatting sqref="A3:A15 A37:A41 A53:A56 A17 A45 A63 A21:A35 A58:A61 A65:A79">
    <cfRule type="expression" dxfId="27" priority="29">
      <formula>LEN(A3)=0</formula>
    </cfRule>
  </conditionalFormatting>
  <conditionalFormatting sqref="A34">
    <cfRule type="expression" dxfId="26" priority="27">
      <formula>LEN(A34)=0</formula>
    </cfRule>
  </conditionalFormatting>
  <conditionalFormatting sqref="A63">
    <cfRule type="expression" dxfId="25" priority="26">
      <formula>LEN(A63)=0</formula>
    </cfRule>
  </conditionalFormatting>
  <conditionalFormatting sqref="A65">
    <cfRule type="expression" dxfId="24" priority="25">
      <formula>LEN(A65)=0</formula>
    </cfRule>
  </conditionalFormatting>
  <conditionalFormatting sqref="A65">
    <cfRule type="expression" dxfId="23" priority="24">
      <formula>LEN(A65)=0</formula>
    </cfRule>
  </conditionalFormatting>
  <conditionalFormatting sqref="A68">
    <cfRule type="expression" dxfId="22" priority="23">
      <formula>LEN(A68)=0</formula>
    </cfRule>
  </conditionalFormatting>
  <conditionalFormatting sqref="A70">
    <cfRule type="expression" dxfId="21" priority="22">
      <formula>LEN(A70)=0</formula>
    </cfRule>
  </conditionalFormatting>
  <conditionalFormatting sqref="A74">
    <cfRule type="expression" dxfId="20" priority="21">
      <formula>LEN(A74)=0</formula>
    </cfRule>
  </conditionalFormatting>
  <conditionalFormatting sqref="A36">
    <cfRule type="expression" dxfId="19" priority="20">
      <formula>LEN(A36)=0</formula>
    </cfRule>
  </conditionalFormatting>
  <conditionalFormatting sqref="A46">
    <cfRule type="expression" dxfId="18" priority="19">
      <formula>LEN(A46)=0</formula>
    </cfRule>
  </conditionalFormatting>
  <conditionalFormatting sqref="A50">
    <cfRule type="expression" dxfId="17" priority="18">
      <formula>LEN(A50)=0</formula>
    </cfRule>
  </conditionalFormatting>
  <conditionalFormatting sqref="A51:A52">
    <cfRule type="expression" dxfId="16" priority="17">
      <formula>LEN(A51)=0</formula>
    </cfRule>
  </conditionalFormatting>
  <conditionalFormatting sqref="A16">
    <cfRule type="expression" dxfId="15" priority="16">
      <formula>LEN(A16)=0</formula>
    </cfRule>
  </conditionalFormatting>
  <conditionalFormatting sqref="A42">
    <cfRule type="expression" dxfId="14" priority="15">
      <formula>LEN(A42)=0</formula>
    </cfRule>
  </conditionalFormatting>
  <conditionalFormatting sqref="A62">
    <cfRule type="expression" dxfId="13" priority="14">
      <formula>LEN(A62)=0</formula>
    </cfRule>
  </conditionalFormatting>
  <conditionalFormatting sqref="A62">
    <cfRule type="expression" dxfId="12" priority="13">
      <formula>LEN(A62)=0</formula>
    </cfRule>
  </conditionalFormatting>
  <conditionalFormatting sqref="A43">
    <cfRule type="expression" dxfId="11" priority="12">
      <formula>LEN(A43)=0</formula>
    </cfRule>
  </conditionalFormatting>
  <conditionalFormatting sqref="A44">
    <cfRule type="expression" dxfId="10" priority="11">
      <formula>LEN(A44)=0</formula>
    </cfRule>
  </conditionalFormatting>
  <conditionalFormatting sqref="A19">
    <cfRule type="expression" dxfId="9" priority="10">
      <formula>LEN(A19)=0</formula>
    </cfRule>
  </conditionalFormatting>
  <conditionalFormatting sqref="A20">
    <cfRule type="expression" dxfId="8" priority="9">
      <formula>LEN(A20)=0</formula>
    </cfRule>
  </conditionalFormatting>
  <conditionalFormatting sqref="A47">
    <cfRule type="expression" dxfId="7" priority="8">
      <formula>LEN(A47)=0</formula>
    </cfRule>
  </conditionalFormatting>
  <conditionalFormatting sqref="A49">
    <cfRule type="expression" dxfId="6" priority="7">
      <formula>LEN(A49)=0</formula>
    </cfRule>
  </conditionalFormatting>
  <conditionalFormatting sqref="A48">
    <cfRule type="expression" dxfId="5" priority="6">
      <formula>LEN(A48)=0</formula>
    </cfRule>
  </conditionalFormatting>
  <conditionalFormatting sqref="A57">
    <cfRule type="expression" dxfId="4" priority="5">
      <formula>LEN(A57)=0</formula>
    </cfRule>
  </conditionalFormatting>
  <conditionalFormatting sqref="A64">
    <cfRule type="expression" dxfId="3" priority="4">
      <formula>LEN(A64)=0</formula>
    </cfRule>
  </conditionalFormatting>
  <conditionalFormatting sqref="A64">
    <cfRule type="expression" dxfId="2" priority="3">
      <formula>LEN(A64)=0</formula>
    </cfRule>
  </conditionalFormatting>
  <conditionalFormatting sqref="A64">
    <cfRule type="expression" dxfId="1" priority="2">
      <formula>LEN(A64)=0</formula>
    </cfRule>
  </conditionalFormatting>
  <conditionalFormatting sqref="A18">
    <cfRule type="expression" dxfId="0" priority="1">
      <formula>LEN(A18)=0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1FE87-7716-418F-9A0C-63EFD7BD228D}">
  <sheetPr codeName="Лист2"/>
  <dimension ref="A1:B3"/>
  <sheetViews>
    <sheetView workbookViewId="0">
      <selection activeCell="B3" sqref="B3"/>
    </sheetView>
  </sheetViews>
  <sheetFormatPr defaultRowHeight="15" x14ac:dyDescent="0.25"/>
  <cols>
    <col min="1" max="1" width="32.42578125" customWidth="1"/>
  </cols>
  <sheetData>
    <row r="1" spans="1:2" x14ac:dyDescent="0.25">
      <c r="A1" t="s">
        <v>28</v>
      </c>
      <c r="B1" t="s">
        <v>29</v>
      </c>
    </row>
    <row r="2" spans="1:2" x14ac:dyDescent="0.25">
      <c r="A2" t="s">
        <v>30</v>
      </c>
      <c r="B2" t="s">
        <v>31</v>
      </c>
    </row>
    <row r="3" spans="1:2" x14ac:dyDescent="0.25">
      <c r="A3" t="s">
        <v>32</v>
      </c>
      <c r="B3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Инженерия</vt:lpstr>
      <vt:lpstr>Настройки</vt:lpstr>
      <vt:lpstr>РГ</vt:lpstr>
      <vt:lpstr>РС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2021-02-19T08:41:14Z</dcterms:modified>
</cp:coreProperties>
</file>